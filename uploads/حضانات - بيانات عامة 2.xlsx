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5"/>
  <workbookPr/>
  <mc:AlternateContent xmlns:mc="http://schemas.openxmlformats.org/markup-compatibility/2006">
    <mc:Choice Requires="x15">
      <x15ac:absPath xmlns:x15ac="http://schemas.microsoft.com/office/spreadsheetml/2010/11/ac" url="\\manama.moebh.net\STORAGE\042_KINDERGARTEN_DIRECTORATE\TEAM_01_@042\بيانات مؤسسات التعليم المبكر\بيانات عامة + بيانات التواصل\"/>
    </mc:Choice>
  </mc:AlternateContent>
  <xr:revisionPtr revIDLastSave="0" documentId="8_{49AB0E17-CF5D-6247-A040-6BC74C66DA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واصل - حضانات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6" i="1" l="1"/>
  <c r="C107" i="1"/>
  <c r="C105" i="1"/>
  <c r="C113" i="1"/>
  <c r="C112" i="1"/>
  <c r="C111" i="1"/>
  <c r="C110" i="1"/>
  <c r="C104" i="1"/>
  <c r="C101" i="1"/>
  <c r="C100" i="1"/>
  <c r="C99" i="1"/>
  <c r="C98" i="1"/>
</calcChain>
</file>

<file path=xl/sharedStrings.xml><?xml version="1.0" encoding="utf-8"?>
<sst xmlns="http://schemas.openxmlformats.org/spreadsheetml/2006/main" count="1214" uniqueCount="725">
  <si>
    <t>الهوية</t>
  </si>
  <si>
    <t>الحالة</t>
  </si>
  <si>
    <t>أجنبية</t>
  </si>
  <si>
    <t>وطنية</t>
  </si>
  <si>
    <t>نشطة</t>
  </si>
  <si>
    <t>#</t>
  </si>
  <si>
    <t>جاليات</t>
  </si>
  <si>
    <t>رقم الترخيص</t>
  </si>
  <si>
    <t>الطاقة الاستيعابية</t>
  </si>
  <si>
    <t>عدد غرف التعلم</t>
  </si>
  <si>
    <t>E-mail</t>
  </si>
  <si>
    <t>اسم المالك</t>
  </si>
  <si>
    <t>رقم هاتف المالك</t>
  </si>
  <si>
    <t>اسم المديرة</t>
  </si>
  <si>
    <t>رقم هاتف المديرة</t>
  </si>
  <si>
    <t>اسم الشخص المعني بالتواصل مع الإدارة</t>
  </si>
  <si>
    <t>رقم هاتف الشخص المعني بالتواصل مع الإدارة</t>
  </si>
  <si>
    <t>اسم الشخص المعني بإدخال البيانات</t>
  </si>
  <si>
    <t>رقم هاتف الشخص المعني بإدخال البيانات</t>
  </si>
  <si>
    <t>مبنى</t>
  </si>
  <si>
    <t>طريق</t>
  </si>
  <si>
    <t>مجمع</t>
  </si>
  <si>
    <t>المنطقة</t>
  </si>
  <si>
    <t>المحافظة</t>
  </si>
  <si>
    <t>حضانة فيري توبيا (جرداب)</t>
  </si>
  <si>
    <t xml:space="preserve">حضانة الجواهر الصغيرة </t>
  </si>
  <si>
    <t>حضانة ماجد الزياني</t>
  </si>
  <si>
    <t>Majed ALzayani Nursery</t>
  </si>
  <si>
    <t>حضانة لايف تايم</t>
  </si>
  <si>
    <t>Life Time Nursery</t>
  </si>
  <si>
    <t>Ghosoun Future Nursery</t>
  </si>
  <si>
    <t>حضانة أقواس قزح</t>
  </si>
  <si>
    <t>حضانة أطفالي</t>
  </si>
  <si>
    <t xml:space="preserve">   Kiddie Pre-school Nursery                                       </t>
  </si>
  <si>
    <t>حضانة الخطوات الأولى</t>
  </si>
  <si>
    <t>First Steps Children's Nursery</t>
  </si>
  <si>
    <t>حضانة رعاية الطفل</t>
  </si>
  <si>
    <t xml:space="preserve">Kiddy Care Nursery </t>
  </si>
  <si>
    <t>حضانة عالمي الممتع</t>
  </si>
  <si>
    <t>My Fun World Nursery</t>
  </si>
  <si>
    <t>حضانة أجيال منتسوري</t>
  </si>
  <si>
    <t xml:space="preserve">دار حضانة مدرسة الأطفال (إنفنت) </t>
  </si>
  <si>
    <t xml:space="preserve">حضانة الأطفال البهيجة </t>
  </si>
  <si>
    <t>Joyful Kids Nursery</t>
  </si>
  <si>
    <t xml:space="preserve">حضانة كدز آيلاند   </t>
  </si>
  <si>
    <t>Kids Island Nursery</t>
  </si>
  <si>
    <t xml:space="preserve">حضانة فيري بيري </t>
  </si>
  <si>
    <t>الحضانة البريطانية</t>
  </si>
  <si>
    <t xml:space="preserve">The British Nursery </t>
  </si>
  <si>
    <t>حضانة الخليج (سرايا)</t>
  </si>
  <si>
    <t>Gulf Nursery</t>
  </si>
  <si>
    <t>حضانة الأم السعيدة</t>
  </si>
  <si>
    <t xml:space="preserve">Happy Mama Nursery </t>
  </si>
  <si>
    <t>حضانة أرض الصغار</t>
  </si>
  <si>
    <t>Kids Land Nursery</t>
  </si>
  <si>
    <t xml:space="preserve">Al Fateh Nursery </t>
  </si>
  <si>
    <t>حضانة اللآلئ الصغيرة</t>
  </si>
  <si>
    <t xml:space="preserve">Little Pearls Nursery </t>
  </si>
  <si>
    <t>My Little House Nursery</t>
  </si>
  <si>
    <t>حضانة الياسمين</t>
  </si>
  <si>
    <t xml:space="preserve">Al Yasmeen Nursery </t>
  </si>
  <si>
    <t>حضانة خطوة بخطوة</t>
  </si>
  <si>
    <t>Step By Step Nursery</t>
  </si>
  <si>
    <t>حضانة مدينة الأطفال</t>
  </si>
  <si>
    <t>Toddlers Town Nursery</t>
  </si>
  <si>
    <t>حضانة ريش</t>
  </si>
  <si>
    <t>Reach Nursery</t>
  </si>
  <si>
    <t>حضانة ليتل وندرز</t>
  </si>
  <si>
    <t>Little Wonders Nursery</t>
  </si>
  <si>
    <t>حضانة بامبينو ماحوز</t>
  </si>
  <si>
    <t>Bambino Mahooz Nursery</t>
  </si>
  <si>
    <t>حضانة شارمنج</t>
  </si>
  <si>
    <t>Charming Nursery</t>
  </si>
  <si>
    <t xml:space="preserve">Happy Kid Nursery  </t>
  </si>
  <si>
    <t>حضانة كدز يونيفرس</t>
  </si>
  <si>
    <t>Big Ben Nursery</t>
  </si>
  <si>
    <t>حضانة غصون المستقبل توبلي</t>
  </si>
  <si>
    <t>Future Ghosoun Tubli Nursery</t>
  </si>
  <si>
    <t>حضانة الأنامل الصغيرة</t>
  </si>
  <si>
    <t>Tiny Finger Tips Nursery</t>
  </si>
  <si>
    <t>حضانة عالم العجائب</t>
  </si>
  <si>
    <t xml:space="preserve">Wonder World Nursery </t>
  </si>
  <si>
    <t>حضانة الرياحين</t>
  </si>
  <si>
    <t xml:space="preserve">Al Rayaheen Nursery </t>
  </si>
  <si>
    <t>حضانة جيجلز</t>
  </si>
  <si>
    <t>حضانة فيريتوبيا السيف</t>
  </si>
  <si>
    <t>حضانة عالم سمسم</t>
  </si>
  <si>
    <t>Simsim World Nursery</t>
  </si>
  <si>
    <t>حضانة الجفير</t>
  </si>
  <si>
    <t xml:space="preserve">Juffair Nursery </t>
  </si>
  <si>
    <t>حضانة كندر ورلد العدلية</t>
  </si>
  <si>
    <t>حضانة جنة الأطفال</t>
  </si>
  <si>
    <t xml:space="preserve">Janat Al-Atfal Nursery </t>
  </si>
  <si>
    <t>حضانة مادلين</t>
  </si>
  <si>
    <t xml:space="preserve">Madeleine's pre school </t>
  </si>
  <si>
    <t xml:space="preserve">حضانة التمهيد البريطاني </t>
  </si>
  <si>
    <t xml:space="preserve">الحضانة الراقية </t>
  </si>
  <si>
    <t>Elegant Nursery</t>
  </si>
  <si>
    <t>حضانة سارة</t>
  </si>
  <si>
    <t xml:space="preserve">Sara Nursery </t>
  </si>
  <si>
    <t>حضانة الأطفال الصغار</t>
  </si>
  <si>
    <t>حضانة تطور الأطفال</t>
  </si>
  <si>
    <t>Evolution Childcare Nursery</t>
  </si>
  <si>
    <t>حضانة البراعم الراقية</t>
  </si>
  <si>
    <t>Al Baraem Elegant Nursery</t>
  </si>
  <si>
    <t>حضانة كنوز</t>
  </si>
  <si>
    <t xml:space="preserve">Konooz Nursery </t>
  </si>
  <si>
    <t>Kinder World Pre school - Janabiyah</t>
  </si>
  <si>
    <t>حضانة ليتل ميركل</t>
  </si>
  <si>
    <t>Little Miracles Daycare Center</t>
  </si>
  <si>
    <t>دار حضانة انفنت الرفاع</t>
  </si>
  <si>
    <t>Infant Nursery Riffa</t>
  </si>
  <si>
    <t xml:space="preserve">دار حضانة سار </t>
  </si>
  <si>
    <t>Saar Nursery</t>
  </si>
  <si>
    <t>حضانة اليقين</t>
  </si>
  <si>
    <t xml:space="preserve">Alyaqeen Baby Nursery </t>
  </si>
  <si>
    <t>حضانة نجم الصباح</t>
  </si>
  <si>
    <t>Morning Star</t>
  </si>
  <si>
    <t>حضانة حلم الأطفال</t>
  </si>
  <si>
    <t>Kids Dream Nursery</t>
  </si>
  <si>
    <t>حضانة العصافير الصغيرة</t>
  </si>
  <si>
    <t xml:space="preserve">Little Birds Nursery </t>
  </si>
  <si>
    <t>حضانة الخليج (القفول)</t>
  </si>
  <si>
    <t>دار حضانة الإبداع</t>
  </si>
  <si>
    <t xml:space="preserve">Creative Nursery </t>
  </si>
  <si>
    <t>حضانة الوطن</t>
  </si>
  <si>
    <t>AlWatan Nursery</t>
  </si>
  <si>
    <t>حضانة الدانة</t>
  </si>
  <si>
    <t>AL Dana Nursery</t>
  </si>
  <si>
    <t>حضانة أحضان</t>
  </si>
  <si>
    <t xml:space="preserve">Ahdhan Nursery </t>
  </si>
  <si>
    <t>حضانة الحنان</t>
  </si>
  <si>
    <t>AL Hanan Nursery</t>
  </si>
  <si>
    <t>حضانة شجرة التعليم ذ.م.م</t>
  </si>
  <si>
    <t>The Learning Tree Nursery W.L.L</t>
  </si>
  <si>
    <t>حضانة التعليم المبكر</t>
  </si>
  <si>
    <t>Early Learners Nursery</t>
  </si>
  <si>
    <t>حضانة بامبينو</t>
  </si>
  <si>
    <t>Bambino Nursery</t>
  </si>
  <si>
    <t>حضانة كوكب الأطفال</t>
  </si>
  <si>
    <t>Kids Planet Nursery</t>
  </si>
  <si>
    <t>حضانة الانشراح</t>
  </si>
  <si>
    <t>Al Enshirah Nursery</t>
  </si>
  <si>
    <t>حضاتة اصدقاء ألي</t>
  </si>
  <si>
    <t>Ele friends Nursery</t>
  </si>
  <si>
    <t>دار حضانة الشمس المشرقة</t>
  </si>
  <si>
    <t>Sunrise Nursery</t>
  </si>
  <si>
    <t>دار حضانة الحديقة الصغيرة</t>
  </si>
  <si>
    <t xml:space="preserve">Little Garden Nursery </t>
  </si>
  <si>
    <t>دار حضانة فاستراك كيدز</t>
  </si>
  <si>
    <t xml:space="preserve">Fastrack Nursery </t>
  </si>
  <si>
    <t>دار حضانة المتعلمين الصغار</t>
  </si>
  <si>
    <t>Little Learners Nursery</t>
  </si>
  <si>
    <t>دار حضانة ليلي بوت</t>
  </si>
  <si>
    <t>Lilliput Nursery</t>
  </si>
  <si>
    <t>حضانة الأيام الذهبية</t>
  </si>
  <si>
    <t>Golden Days Nursery</t>
  </si>
  <si>
    <t>حضانة التألق</t>
  </si>
  <si>
    <t>Brilliance Nursery</t>
  </si>
  <si>
    <t>مجموع الحضانات</t>
  </si>
  <si>
    <t xml:space="preserve">عدد الحضانات </t>
  </si>
  <si>
    <t>حالة الحضانات</t>
  </si>
  <si>
    <t>kidzworldnursery.bh@gmail.com</t>
  </si>
  <si>
    <t>Waleed EbrahimAhmadi</t>
  </si>
  <si>
    <t>Sharifa Al Rowaiei</t>
  </si>
  <si>
    <t xml:space="preserve">ام الحصم </t>
  </si>
  <si>
    <t>Rachael White</t>
  </si>
  <si>
    <t>جري الشيخ - الرفاع</t>
  </si>
  <si>
    <t>ajyaal@gmail.com</t>
  </si>
  <si>
    <t>Daniela Kouvaras</t>
  </si>
  <si>
    <t>Jalila Alalawi</t>
  </si>
  <si>
    <t>Benelinda Carino</t>
  </si>
  <si>
    <t>2015/د ح / 35</t>
  </si>
  <si>
    <t>office@talentschools.com</t>
  </si>
  <si>
    <t>Shaikha Abdulla Abul</t>
  </si>
  <si>
    <t>Zahra Nabeel</t>
  </si>
  <si>
    <t>66388036/17252346</t>
  </si>
  <si>
    <t>2014/ دح / 5</t>
  </si>
  <si>
    <t>Ki-nursery@outlook.com</t>
  </si>
  <si>
    <t>فتحية السيد مصطفى ال شرف</t>
  </si>
  <si>
    <t>سترة</t>
  </si>
  <si>
    <t>3/ دح/2014</t>
  </si>
  <si>
    <t>info@veryberrybh.com</t>
  </si>
  <si>
    <t>Marlyne Necola Elemelki</t>
  </si>
  <si>
    <t>Marlyne Necola Elmelki</t>
  </si>
  <si>
    <t>سند</t>
  </si>
  <si>
    <t>176 60024</t>
  </si>
  <si>
    <t>info@thebritishnursery.com</t>
  </si>
  <si>
    <t>Shaikha May  Salman Mubarak AlKhalifa</t>
  </si>
  <si>
    <t>Bernadette Rogers</t>
  </si>
  <si>
    <t>Natalie Hadwin</t>
  </si>
  <si>
    <t>132449-1</t>
  </si>
  <si>
    <t>happymama.nursery@gmail.com</t>
  </si>
  <si>
    <t xml:space="preserve">أبرار علي صقر </t>
  </si>
  <si>
    <t xml:space="preserve">حصة صالح المطوع </t>
  </si>
  <si>
    <t xml:space="preserve">قلالي </t>
  </si>
  <si>
    <t>2/دح/  2016</t>
  </si>
  <si>
    <t>kidslandbh@gmail.com</t>
  </si>
  <si>
    <t xml:space="preserve">فاطمه  ناصر احمد </t>
  </si>
  <si>
    <t xml:space="preserve">رمله جمعه احمد </t>
  </si>
  <si>
    <t xml:space="preserve">ايات عباس علي </t>
  </si>
  <si>
    <t>جد الحاج</t>
  </si>
  <si>
    <t xml:space="preserve">alfatehpreschool@gmail.com </t>
  </si>
  <si>
    <t xml:space="preserve">ليلى علي الهاشمي </t>
  </si>
  <si>
    <t xml:space="preserve">خلود صالح قاسم المحقني </t>
  </si>
  <si>
    <t>Muneer Kunhimohamed Ansari Parayil</t>
  </si>
  <si>
    <t xml:space="preserve">Joana Flavia </t>
  </si>
  <si>
    <t>33558911/17491201</t>
  </si>
  <si>
    <t>Rubeena Nalakath</t>
  </si>
  <si>
    <t>الحد</t>
  </si>
  <si>
    <t>7دح2020</t>
  </si>
  <si>
    <t>stepbystep.prekg@gmail.com</t>
  </si>
  <si>
    <t>منى يوسف حسن</t>
  </si>
  <si>
    <t xml:space="preserve">Tahera Abbas Rustam </t>
  </si>
  <si>
    <t>بوري</t>
  </si>
  <si>
    <t xml:space="preserve">6/د ح / 2017 </t>
  </si>
  <si>
    <t xml:space="preserve">reachbahrain@gmail.com </t>
  </si>
  <si>
    <t>صالحة علي موسى الميل</t>
  </si>
  <si>
    <t>رقية ياسين المزعل</t>
  </si>
  <si>
    <t>رقية المزعل</t>
  </si>
  <si>
    <t>مدينة عيسى</t>
  </si>
  <si>
    <t>7 / د ح   / 2017</t>
  </si>
  <si>
    <t>نيكولا للويد</t>
  </si>
  <si>
    <t xml:space="preserve">وفاء أحمد </t>
  </si>
  <si>
    <t>وفاء مهدي أحمد</t>
  </si>
  <si>
    <t>الهملة</t>
  </si>
  <si>
    <t>2017 / د ح / 8</t>
  </si>
  <si>
    <t>info@littlewondersbh.com</t>
  </si>
  <si>
    <t xml:space="preserve">المرخ </t>
  </si>
  <si>
    <t>Rabiya Essa
Shazray Khan</t>
  </si>
  <si>
    <t>Rabiya Essa</t>
  </si>
  <si>
    <t>Sara Almukharraq</t>
  </si>
  <si>
    <t>1/دح/2018</t>
  </si>
  <si>
    <t>Info@Bahrain.Kipinakids.com</t>
  </si>
  <si>
    <t>3960 8370</t>
  </si>
  <si>
    <t xml:space="preserve">Arianne Zgela </t>
  </si>
  <si>
    <t>Fatima AlHalwachi</t>
  </si>
  <si>
    <t>38001811/39831524</t>
  </si>
  <si>
    <t>سار</t>
  </si>
  <si>
    <t xml:space="preserve">2/دح/2018 </t>
  </si>
  <si>
    <t>info@kidscornerbh.com</t>
  </si>
  <si>
    <t>Ebrahim Ali Ebrahim Ali</t>
  </si>
  <si>
    <t>Kubra S Ebrahim Hashim</t>
  </si>
  <si>
    <t>كبرى السيد إبراهيم هاشم</t>
  </si>
  <si>
    <t>info@learnandfundaycare.com</t>
  </si>
  <si>
    <t xml:space="preserve">زهرة فيصل </t>
  </si>
  <si>
    <t xml:space="preserve">Zahra Faisal </t>
  </si>
  <si>
    <t xml:space="preserve">بني جمرة </t>
  </si>
  <si>
    <t>جرداب</t>
  </si>
  <si>
    <t>bigbennursery.bh@gmail.com</t>
  </si>
  <si>
    <t>السيد محمد عاشور رضي</t>
  </si>
  <si>
    <t>رقية رمضان مهدي</t>
  </si>
  <si>
    <t>أبرار أحمد محمد الغيص</t>
  </si>
  <si>
    <t xml:space="preserve">الهملة </t>
  </si>
  <si>
    <t>wonderworldnurserybh@gmail.com</t>
  </si>
  <si>
    <t>يوسف أحمد محمد</t>
  </si>
  <si>
    <t>أ.نورة سالم يوسف</t>
  </si>
  <si>
    <t>أ.نورة سالم يوسف.</t>
  </si>
  <si>
    <t>nsimsim71@gmail.com</t>
  </si>
  <si>
    <t>أسماء محمد ماضي</t>
  </si>
  <si>
    <t>دعاء يوسف محمد</t>
  </si>
  <si>
    <t xml:space="preserve">البسيتين </t>
  </si>
  <si>
    <t>2015(52)</t>
  </si>
  <si>
    <t>jantalatfallnursery@gmail.com</t>
  </si>
  <si>
    <t xml:space="preserve">جمعية رعاية الطفل و الامومة </t>
  </si>
  <si>
    <t xml:space="preserve">وفاء محمد حسن </t>
  </si>
  <si>
    <t>وفاء محمد حسن</t>
  </si>
  <si>
    <t>konooznurserybh@gmail.com</t>
  </si>
  <si>
    <t xml:space="preserve">نيلة محمد علي الجلاهمة </t>
  </si>
  <si>
    <t>زينب جاسم شريف</t>
  </si>
  <si>
    <t>عراد</t>
  </si>
  <si>
    <t>KINDERWORLD PRESCHOOL W L L</t>
  </si>
  <si>
    <t>LYN BARRIE</t>
  </si>
  <si>
    <t>ENTESAR SULTAN</t>
  </si>
  <si>
    <t xml:space="preserve">SARA MATHEW / ENTESAR SULTAN </t>
  </si>
  <si>
    <t xml:space="preserve">33600097 / 39226013 </t>
  </si>
  <si>
    <t xml:space="preserve">الجنبية </t>
  </si>
  <si>
    <t>Noor AlShamasai - Manager</t>
  </si>
  <si>
    <t>Sh Noora Abdulrahman Al Khalifa</t>
  </si>
  <si>
    <t>Sh Noora AlKhalifa</t>
  </si>
  <si>
    <t>البحير</t>
  </si>
  <si>
    <t>littlehouse.bh@gmail.com</t>
  </si>
  <si>
    <t xml:space="preserve">عبدالله يوسف بوزبون </t>
  </si>
  <si>
    <t xml:space="preserve">اشواق احمد المحميد </t>
  </si>
  <si>
    <t>اشواق احمد المحميد</t>
  </si>
  <si>
    <t xml:space="preserve">اشواق احمد  المحميد </t>
  </si>
  <si>
    <t>38384044-33972778</t>
  </si>
  <si>
    <t xml:space="preserve">عراد </t>
  </si>
  <si>
    <t>Juffair.nursery@hotmail.com</t>
  </si>
  <si>
    <t>HASAN JALAL SAYED MOOSA ALALAWI</t>
  </si>
  <si>
    <t>FARKHUNDA DAIRI</t>
  </si>
  <si>
    <t>Saada Al Rahma</t>
  </si>
  <si>
    <t xml:space="preserve">الجفير </t>
  </si>
  <si>
    <t>sarahnursary1975.bh@gmail.com</t>
  </si>
  <si>
    <t>رقم السجل التجاري</t>
  </si>
  <si>
    <t>محافظة المحرق</t>
  </si>
  <si>
    <t>محافظة العاصمة</t>
  </si>
  <si>
    <t>المحافظة الشمالية</t>
  </si>
  <si>
    <t>المحافظة الجنوبية</t>
  </si>
  <si>
    <t>عدد الحضانات في كل محافظة</t>
  </si>
  <si>
    <t>رقم(70) 2015</t>
  </si>
  <si>
    <t>نسيم محمد عبد اللطيف</t>
  </si>
  <si>
    <t>ملكة لطفي القديري</t>
  </si>
  <si>
    <t>رقم هاتف الحضانة</t>
  </si>
  <si>
    <t>Little Gems Pre-school</t>
  </si>
  <si>
    <t>107595-1</t>
  </si>
  <si>
    <t>admin@littlegemsbh.com</t>
  </si>
  <si>
    <t>Waleed Abdulla Rashdan</t>
  </si>
  <si>
    <t>Daniela Burt</t>
  </si>
  <si>
    <t xml:space="preserve">2013/484 </t>
  </si>
  <si>
    <t>17211894  36866068</t>
  </si>
  <si>
    <t>hadhanalifetime@gmail.com</t>
  </si>
  <si>
    <t>فاطمة راشد عواد عبدالله</t>
  </si>
  <si>
    <t>فاطمة راشد عواد عبدالله 
 ميساء جاسم عبداللطيف</t>
  </si>
  <si>
    <t>ميساء جاسم عبداللطيف عبدالرحمن</t>
  </si>
  <si>
    <t>105002-2</t>
  </si>
  <si>
    <t>122633-1</t>
  </si>
  <si>
    <t>نجاة عبدالله علي محمد</t>
  </si>
  <si>
    <t>المقشع</t>
  </si>
  <si>
    <t>51785-2</t>
  </si>
  <si>
    <t>rainbows-for-kids@hotmail.com</t>
  </si>
  <si>
    <t>Muna Abdulla Fairooz Hasan</t>
  </si>
  <si>
    <t>Christine Hasan</t>
  </si>
  <si>
    <t>صفية رجب علي محمد</t>
  </si>
  <si>
    <t>عالي</t>
  </si>
  <si>
    <t>112600-1</t>
  </si>
  <si>
    <t>معصومة حسن عبدالله</t>
  </si>
  <si>
    <t xml:space="preserve">معصومة حسن </t>
  </si>
  <si>
    <t>مدينة حمد</t>
  </si>
  <si>
    <t>Ajyaal Montessori Pre-School</t>
  </si>
  <si>
    <t>64179-1</t>
  </si>
  <si>
    <t>The Infant School (Manma)</t>
  </si>
  <si>
    <t>119100-3</t>
  </si>
  <si>
    <t>86537 - 02</t>
  </si>
  <si>
    <t>116315-1</t>
  </si>
  <si>
    <t>Marlyne Necola Elmelki 
 Shaima Mohamed Ashoor</t>
  </si>
  <si>
    <t>79400-3</t>
  </si>
  <si>
    <t>(11) 2014</t>
  </si>
  <si>
    <t>زهرة احمد جهرمي</t>
  </si>
  <si>
    <t>بوقوة</t>
  </si>
  <si>
    <t>115182-1</t>
  </si>
  <si>
    <t>دار حضانة الفاتح</t>
  </si>
  <si>
    <t>104299-2</t>
  </si>
  <si>
    <t>96438 -2</t>
  </si>
  <si>
    <t xml:space="preserve">حضانة دار منزلي الصغير </t>
  </si>
  <si>
    <t>108736-1</t>
  </si>
  <si>
    <t>126854-1</t>
  </si>
  <si>
    <t>Alyasmeen.nursery@gmail.com</t>
  </si>
  <si>
    <t>فاطمة حسن ملا أحمد البصري</t>
  </si>
  <si>
    <t>130734-1</t>
  </si>
  <si>
    <t>2017/دح/4</t>
  </si>
  <si>
    <t>87436-3</t>
  </si>
  <si>
    <t>toddlerstownbh@gmail.com</t>
  </si>
  <si>
    <t>66030-10</t>
  </si>
  <si>
    <t>96829-1</t>
  </si>
  <si>
    <t>112141-1</t>
  </si>
  <si>
    <t>36447000
36554000</t>
  </si>
  <si>
    <t>Kipina Bahrain Nursery</t>
  </si>
  <si>
    <t>115599-1</t>
  </si>
  <si>
    <t>38001811
17009598</t>
  </si>
  <si>
    <t>40444 -2</t>
  </si>
  <si>
    <t>4/دح/2018</t>
  </si>
  <si>
    <t>115215-2</t>
  </si>
  <si>
    <t>bambino.daycare.bh@gmail.com</t>
  </si>
  <si>
    <t>لمياء يوسف داغر</t>
  </si>
  <si>
    <t>لمياء يوسف داغر/ إبمان صادق</t>
  </si>
  <si>
    <t>38899340/38857626</t>
  </si>
  <si>
    <t>إيمان صادق</t>
  </si>
  <si>
    <t>أم الحصم</t>
  </si>
  <si>
    <t xml:space="preserve">دار حضانة الطفل السعيد </t>
  </si>
  <si>
    <t>114327-2</t>
  </si>
  <si>
    <t>hkids80@gmail.com</t>
  </si>
  <si>
    <t>زينب منصور محمد سلمان</t>
  </si>
  <si>
    <t>الشاخورة</t>
  </si>
  <si>
    <t>دار حضانة بيج بن</t>
  </si>
  <si>
    <t>132231-1</t>
  </si>
  <si>
    <t>tfn.bahrain@gmail.com</t>
  </si>
  <si>
    <t>رنا علي إبراهيم</t>
  </si>
  <si>
    <t>فاطمه علي احمد</t>
  </si>
  <si>
    <t>جري الشيخ</t>
  </si>
  <si>
    <t>131574-1</t>
  </si>
  <si>
    <t>131078-2</t>
  </si>
  <si>
    <t>Alrayaheennursery@gmail.com</t>
  </si>
  <si>
    <t>نفيسة محسن محمد العصفور</t>
  </si>
  <si>
    <t>العكر الغربي</t>
  </si>
  <si>
    <t>80099-4</t>
  </si>
  <si>
    <t>نسيم محمد علي علي</t>
  </si>
  <si>
    <t>منال لطفي القديري</t>
  </si>
  <si>
    <t>Naseem Mohamed Abdullatif</t>
  </si>
  <si>
    <t>كرباباد</t>
  </si>
  <si>
    <t>117979 - 4</t>
  </si>
  <si>
    <t>139658-1</t>
  </si>
  <si>
    <t>123Soleil.tubli@gmail.com</t>
  </si>
  <si>
    <t>توبلي</t>
  </si>
  <si>
    <t>Asya Fulad</t>
  </si>
  <si>
    <t>Catherine Noor</t>
  </si>
  <si>
    <t>Little Scholars Nursery W.L.L</t>
  </si>
  <si>
    <t>حضانة ليتل سكولرز ذ.م.م</t>
  </si>
  <si>
    <t>info@littlescholarsbh.com
noora@littlescholarsbh.com</t>
  </si>
  <si>
    <t xml:space="preserve">Kids Universe Nursery </t>
  </si>
  <si>
    <t>جمعية رعاية الطفل و الامومة</t>
  </si>
  <si>
    <t>A71</t>
  </si>
  <si>
    <t>الرفاع الشرقي</t>
  </si>
  <si>
    <t>mfw_nursery@hotmail.com</t>
  </si>
  <si>
    <t>charmingnursery@gmail.com</t>
  </si>
  <si>
    <t>ghsoonfn@gmail.com</t>
  </si>
  <si>
    <t>admin@gigglesbahrain.com</t>
  </si>
  <si>
    <t>madeleinespreschool1@gmail.com</t>
  </si>
  <si>
    <t>elegant.nursery.bh@gmail.com</t>
  </si>
  <si>
    <t>17300540
 33523736</t>
  </si>
  <si>
    <t>saar.nursery@gmail.com</t>
  </si>
  <si>
    <t>125077-1</t>
  </si>
  <si>
    <t xml:space="preserve">جعفر عبدالصاحب جعفر الشجرة </t>
  </si>
  <si>
    <t xml:space="preserve">فاطمة حسن علي </t>
  </si>
  <si>
    <t xml:space="preserve">زهرة حمد علي احمد </t>
  </si>
  <si>
    <t>المالكية</t>
  </si>
  <si>
    <t>firststeps.bh@gmail.com</t>
  </si>
  <si>
    <t>لمياء السيد عدنان النعيمي</t>
  </si>
  <si>
    <t>992A</t>
  </si>
  <si>
    <t>الزنج</t>
  </si>
  <si>
    <t>Noori Jan Darwish salman</t>
  </si>
  <si>
    <t>Jeanette Clair Harding</t>
  </si>
  <si>
    <t>منى السيد فردان علي</t>
  </si>
  <si>
    <t>زهرة السيد فردان-فضيلة عباس</t>
  </si>
  <si>
    <t>34302566-33410888</t>
  </si>
  <si>
    <t xml:space="preserve">عالي </t>
  </si>
  <si>
    <t>Jasmine smith</t>
  </si>
  <si>
    <t>دلال إبراهيم علي</t>
  </si>
  <si>
    <t>Nursery's Name</t>
  </si>
  <si>
    <t>نجلاء السيد جواد الموسوي</t>
  </si>
  <si>
    <t xml:space="preserve">majidalzayani.nursery@gmail.com </t>
  </si>
  <si>
    <t>حضانة غصون المستقبل المقشع</t>
  </si>
  <si>
    <t>Rainbows Nursery</t>
  </si>
  <si>
    <t>هنادي منصور أحمد</t>
  </si>
  <si>
    <t>2014  / د ح  /  3</t>
  </si>
  <si>
    <t>152474 - 1</t>
  </si>
  <si>
    <t>info.JK.nursery@gmail.com</t>
  </si>
  <si>
    <t>جميلة أحمد كاظم</t>
  </si>
  <si>
    <t>جبلة حبشي</t>
  </si>
  <si>
    <t xml:space="preserve">Very Berry Nursery Co W.L.L               </t>
  </si>
  <si>
    <t>33909599
13655445</t>
  </si>
  <si>
    <t>66334664
36115151</t>
  </si>
  <si>
    <t>66334664
33909599</t>
  </si>
  <si>
    <t>33558911
17491201</t>
  </si>
  <si>
    <t>رحاب محمد بدوي</t>
  </si>
  <si>
    <t>zainabhussain271@icloud.com</t>
  </si>
  <si>
    <t>زينب حسين جعفر الرحيم</t>
  </si>
  <si>
    <t>17334282
33972778</t>
  </si>
  <si>
    <t>17600272
39900213</t>
  </si>
  <si>
    <t>39923639 17722644</t>
  </si>
  <si>
    <t>17799922
33600097</t>
  </si>
  <si>
    <t>عبدالعزيز أحمد لوري</t>
  </si>
  <si>
    <t>Sunita Bildani</t>
  </si>
  <si>
    <t xml:space="preserve">انتصار سلطان </t>
  </si>
  <si>
    <t>39226013
33654050</t>
  </si>
  <si>
    <t>128873-2</t>
  </si>
  <si>
    <t>33654050 39226013</t>
  </si>
  <si>
    <t>العدلية</t>
  </si>
  <si>
    <t>Kinder World Preschool W.L.L</t>
  </si>
  <si>
    <t xml:space="preserve">Kerry-Lee Owen </t>
  </si>
  <si>
    <t>29690 - 5</t>
  </si>
  <si>
    <t xml:space="preserve">موزه محمد مظفر </t>
  </si>
  <si>
    <t>66966096
36182892</t>
  </si>
  <si>
    <t>52123-3</t>
  </si>
  <si>
    <t>فصول تعليمية= 8
غرف نوم= 3</t>
  </si>
  <si>
    <t>الساية</t>
  </si>
  <si>
    <t>42437-3</t>
  </si>
  <si>
    <t xml:space="preserve">فضيلة حميد الخواجة </t>
  </si>
  <si>
    <t xml:space="preserve">36008668
17420033 </t>
  </si>
  <si>
    <t xml:space="preserve">Kiddy Kids Nursery </t>
  </si>
  <si>
    <t>99402-2</t>
  </si>
  <si>
    <t>evolutionchildcare.bh@gmail.com</t>
  </si>
  <si>
    <t>عبير مرتضى قدرت قمبر عبدالله راستي</t>
  </si>
  <si>
    <t>منار علي  سلطان</t>
  </si>
  <si>
    <t xml:space="preserve">موزه محمد أحمد مظفر </t>
  </si>
  <si>
    <t>52123-2</t>
  </si>
  <si>
    <t xml:space="preserve">أمل حسن حسين </t>
  </si>
  <si>
    <t>27509 - 5</t>
  </si>
  <si>
    <t>حضانة كندر وورلد - الجنبية</t>
  </si>
  <si>
    <t>128873-1</t>
  </si>
  <si>
    <t>Nukusitha Janithri Raninali</t>
  </si>
  <si>
    <t>Priyanka Batra</t>
  </si>
  <si>
    <t>115059-1</t>
  </si>
  <si>
    <t>154069-1</t>
  </si>
  <si>
    <t>zain@talentschools.com</t>
  </si>
  <si>
    <t>شيخه ابل</t>
  </si>
  <si>
    <t>زين عبدالوهاب</t>
  </si>
  <si>
    <t>أنوار أبو الشوك</t>
  </si>
  <si>
    <t xml:space="preserve">morningstar.nursary@gmail.com </t>
  </si>
  <si>
    <t>غنية عبدالله علي الأدرج</t>
  </si>
  <si>
    <t>بوران الأنصاري</t>
  </si>
  <si>
    <t>info@aitd.bh</t>
  </si>
  <si>
    <t>رابعة محمود عبدالجبار الكوهجي</t>
  </si>
  <si>
    <t>amally826@gmail.com</t>
  </si>
  <si>
    <t>أمل إبراهيم عبدالله</t>
  </si>
  <si>
    <t>103251-1</t>
  </si>
  <si>
    <t>مادلين سيسيليا المؤيد</t>
  </si>
  <si>
    <t>جليلة العلوي</t>
  </si>
  <si>
    <t>بو عشيرة</t>
  </si>
  <si>
    <t>Vinita Bhutani</t>
  </si>
  <si>
    <t>137624-2</t>
  </si>
  <si>
    <t xml:space="preserve">الفاتح - الجفير </t>
  </si>
  <si>
    <t>Giggles Nursery W.L.L.</t>
  </si>
  <si>
    <t>حضانة الدب الصغير</t>
  </si>
  <si>
    <t>عسكر</t>
  </si>
  <si>
    <t xml:space="preserve">اسم الحضانة </t>
  </si>
  <si>
    <t>موزة راشد أحمد المالود</t>
  </si>
  <si>
    <t>الشيخة أسيل آل خليفة</t>
  </si>
  <si>
    <t>39655345
39919988</t>
  </si>
  <si>
    <t>الشيخة سلا بنت عبدالرحمن آل خليفة</t>
  </si>
  <si>
    <t>info.kiddycarebh@gmail.com</t>
  </si>
  <si>
    <t>تاريخ النشر في الجريدة الرسمية</t>
  </si>
  <si>
    <t>فترة الترخيص</t>
  </si>
  <si>
    <t>من</t>
  </si>
  <si>
    <t>إلى</t>
  </si>
  <si>
    <t>13/2/2021</t>
  </si>
  <si>
    <t>13/2/2023</t>
  </si>
  <si>
    <t>6/دح/2014</t>
  </si>
  <si>
    <t>27/2/2023</t>
  </si>
  <si>
    <t>27/2/2025</t>
  </si>
  <si>
    <t>27/دح/2015</t>
  </si>
  <si>
    <t>13/دح/2015</t>
  </si>
  <si>
    <t>26/دح/2015</t>
  </si>
  <si>
    <t>5/دح/2015</t>
  </si>
  <si>
    <t>7/دح/2015</t>
  </si>
  <si>
    <t>8/دح/2015</t>
  </si>
  <si>
    <t>14/دح/2015</t>
  </si>
  <si>
    <t>12/دح/2015</t>
  </si>
  <si>
    <t>10/د ح/2015</t>
  </si>
  <si>
    <t>21/5/2015</t>
  </si>
  <si>
    <t>1/د ح/2015</t>
  </si>
  <si>
    <t>22/5/2021</t>
  </si>
  <si>
    <t>22/5/2023</t>
  </si>
  <si>
    <t>19/11/2015</t>
  </si>
  <si>
    <t>45/د ح/2015</t>
  </si>
  <si>
    <t>20 /11/2021</t>
  </si>
  <si>
    <t>20/11/2023</t>
  </si>
  <si>
    <t>6/د ح /2016</t>
  </si>
  <si>
    <t>13/10/2016</t>
  </si>
  <si>
    <t>7/د ح /2016</t>
  </si>
  <si>
    <t>14/10/2022</t>
  </si>
  <si>
    <t>14/10/2024</t>
  </si>
  <si>
    <t>82/م ع ن/2022</t>
  </si>
  <si>
    <t>21/11/2022</t>
  </si>
  <si>
    <t>21/11/2024</t>
  </si>
  <si>
    <t>13/ دح /2017</t>
  </si>
  <si>
    <t>13/1/2023</t>
  </si>
  <si>
    <t>13/1/2025</t>
  </si>
  <si>
    <t>16/11/2017</t>
  </si>
  <si>
    <t>17/11/2021</t>
  </si>
  <si>
    <t>17/11/2023</t>
  </si>
  <si>
    <t>3/دح/2018</t>
  </si>
  <si>
    <t>10/دح/2018</t>
  </si>
  <si>
    <t>1/دح/2019</t>
  </si>
  <si>
    <t>2/دح/2019</t>
  </si>
  <si>
    <t>4/دح/2019</t>
  </si>
  <si>
    <t>3/دح/2020</t>
  </si>
  <si>
    <t>1/دح/2020</t>
  </si>
  <si>
    <t>2/دح/2020</t>
  </si>
  <si>
    <t>5/دح/2020</t>
  </si>
  <si>
    <t>6/دح/2020</t>
  </si>
  <si>
    <t>10/دح/2020</t>
  </si>
  <si>
    <t>9/دح/2020</t>
  </si>
  <si>
    <t>1/دح/2021</t>
  </si>
  <si>
    <t>33/دح/2015</t>
  </si>
  <si>
    <t>15/دح/2015</t>
  </si>
  <si>
    <t>17/دح/2015</t>
  </si>
  <si>
    <t>25/دح/2015</t>
  </si>
  <si>
    <t>19/دح/2015</t>
  </si>
  <si>
    <t>43/دح/2015</t>
  </si>
  <si>
    <t>44/دح/2015</t>
  </si>
  <si>
    <t>15/دح/2016</t>
  </si>
  <si>
    <t>2/دح/2017</t>
  </si>
  <si>
    <t>7/دح/2018</t>
  </si>
  <si>
    <t>3/دح/2019</t>
  </si>
  <si>
    <t>7/دح/2019</t>
  </si>
  <si>
    <t>42/دح/2015</t>
  </si>
  <si>
    <t>3/دح/2015</t>
  </si>
  <si>
    <t>1/دح/2017</t>
  </si>
  <si>
    <t>9/دح/2017</t>
  </si>
  <si>
    <t>8/دح/2018</t>
  </si>
  <si>
    <t>4/دح/2020</t>
  </si>
  <si>
    <t>65/م ع ن/2022</t>
  </si>
  <si>
    <t>1/دح/2016</t>
  </si>
  <si>
    <t>145 / م م ج ب أ / 2023</t>
  </si>
  <si>
    <t>Lynneta Harrison</t>
  </si>
  <si>
    <t>الشيخة عائشة بنت خالد آل خليفة</t>
  </si>
  <si>
    <t>info.kwj@kinderworldbh.com</t>
  </si>
  <si>
    <t xml:space="preserve">info.kwa@kinderworldbh.com
vice-principal.kwa@kinderworldbh.com </t>
  </si>
  <si>
    <t>حضانة كيبينا بحرين</t>
  </si>
  <si>
    <t>شركة أي اس ان وشركاؤه ذ.م.م
Ahmed AlNoaimi</t>
  </si>
  <si>
    <t>33227791
77815316</t>
  </si>
  <si>
    <t>143840-1</t>
  </si>
  <si>
    <t>70040-4</t>
  </si>
  <si>
    <t>111668-2</t>
  </si>
  <si>
    <t>57375-4</t>
  </si>
  <si>
    <t>103337-2</t>
  </si>
  <si>
    <t>122755-01</t>
  </si>
  <si>
    <t>122633-2</t>
  </si>
  <si>
    <t>131891-1</t>
  </si>
  <si>
    <t>10735-8</t>
  </si>
  <si>
    <t>114002-1</t>
  </si>
  <si>
    <t>118973-1</t>
  </si>
  <si>
    <t>127902-2</t>
  </si>
  <si>
    <t>155935-1</t>
  </si>
  <si>
    <t>تابعة لجمعية</t>
  </si>
  <si>
    <t xml:space="preserve"> Kinder World Pre School Adliya</t>
  </si>
  <si>
    <t xml:space="preserve">Kids Corner Nursery </t>
  </si>
  <si>
    <t>Fairytopia nursery (Jurdab)</t>
  </si>
  <si>
    <t>Little Bear Nursery</t>
  </si>
  <si>
    <t xml:space="preserve">Fairytopia Nursery (Seef)             </t>
  </si>
  <si>
    <t>gulfnursery1@gmail.com</t>
  </si>
  <si>
    <t>دار حضانة ركن الطفل</t>
  </si>
  <si>
    <t xml:space="preserve">        The British Preparatory School </t>
  </si>
  <si>
    <t>متوقفة عن العمل</t>
  </si>
  <si>
    <t>الصالحية</t>
  </si>
  <si>
    <t>سلماباد</t>
  </si>
  <si>
    <t>باربار</t>
  </si>
  <si>
    <t xml:space="preserve">زهرة عبد الهادي بن رجب </t>
  </si>
  <si>
    <t>زهرة أحمد علي جهرمي</t>
  </si>
  <si>
    <t>زبيدة محمد جلال البلوشي</t>
  </si>
  <si>
    <t>فاطمة جواد منصور</t>
  </si>
  <si>
    <t>لولوة ناصر عبدالله</t>
  </si>
  <si>
    <t xml:space="preserve">زهرة ميرزا منصور </t>
  </si>
  <si>
    <t>بتول ميرزا أسد</t>
  </si>
  <si>
    <t>عائشة فهد سالم العجمي</t>
  </si>
  <si>
    <t>رينيو راتان فارما</t>
  </si>
  <si>
    <t xml:space="preserve">رقية أحمد الكنكوني </t>
  </si>
  <si>
    <t>العليا عبد العزيز مسعود</t>
  </si>
  <si>
    <t>الشيخة حصة خليفة حمد آل خليفة</t>
  </si>
  <si>
    <t>جاسم عبد الكريم سلمان</t>
  </si>
  <si>
    <t>إيمان فايز الفايز</t>
  </si>
  <si>
    <t>شركة حضانة التألق ذ.م.م</t>
  </si>
  <si>
    <t>infobah@LittlePearlsNursery.com</t>
  </si>
  <si>
    <t>kiddie.pre.school.bh@gmail.com</t>
  </si>
  <si>
    <t>148032-1</t>
  </si>
  <si>
    <t>fairytopia.kids@gmail.com</t>
  </si>
  <si>
    <t>Prodigy Lane Preschool</t>
  </si>
  <si>
    <t>ميس زيد عبدالوهاب الداغستاني</t>
  </si>
  <si>
    <t>مقابة</t>
  </si>
  <si>
    <t>Prodigy Lane Preschool W.L.L</t>
  </si>
  <si>
    <t>littlebear.nursery2023@gmail.com</t>
  </si>
  <si>
    <t>Littlemiraclesdaycare.bh@gmail.com
nukusitha@gmail.com</t>
  </si>
  <si>
    <t>prodigylane.bh@gmail.com</t>
  </si>
  <si>
    <t>17582365
35354900</t>
  </si>
  <si>
    <t>administration@etonhouse.me</t>
  </si>
  <si>
    <t>شركة الحضانة الراقية (ذ.م.م)
تمثلها السيدة موزة محمد مظفر</t>
  </si>
  <si>
    <t>حضانة توينكل</t>
  </si>
  <si>
    <t>Twinkle Nursery</t>
  </si>
  <si>
    <t>Twinkle Twinkle W.W.L
تمثلها السيدة نور عبدالنبي الشعلة</t>
  </si>
  <si>
    <t>info@twinkletwinklepreschool.com</t>
  </si>
  <si>
    <t>سمية</t>
  </si>
  <si>
    <t>britprepoffice@gmail.com</t>
  </si>
  <si>
    <t>محمد عادل فخرو
الممثل القانوني لشركة Academia Enterprises W.L.L</t>
  </si>
  <si>
    <t>حضانة المبدعين</t>
  </si>
  <si>
    <t xml:space="preserve">Creative Kids Nursery </t>
  </si>
  <si>
    <t>حسين علي عبدالله  جاسم</t>
  </si>
  <si>
    <t>Kids.universe2019@gmail.com</t>
  </si>
  <si>
    <t>تأجيل دراسة</t>
  </si>
  <si>
    <t>creativesnursery@gmail.com</t>
  </si>
  <si>
    <t>نور عبدالنبي الشعلة</t>
  </si>
  <si>
    <t>Future Hero's Nursery</t>
  </si>
  <si>
    <t>حضانة أبطال المستقبل</t>
  </si>
  <si>
    <t>شركة حضانة عالم سمسم ذ.م.م
الممثل: أسماء محمد ماضي</t>
  </si>
  <si>
    <t>B289</t>
  </si>
  <si>
    <t>الدراز</t>
  </si>
  <si>
    <t>سعاد أحمد إسماعيل أحمد</t>
  </si>
  <si>
    <t>حضانة تعلم وامرح</t>
  </si>
  <si>
    <t>زهراء فيصل أحمد إبراهيم المسترشد</t>
  </si>
  <si>
    <t>الرقم الشخصي للمالك</t>
  </si>
  <si>
    <t>55026-6</t>
  </si>
  <si>
    <t>162432-2</t>
  </si>
  <si>
    <t>حضانة طريق العباقرة</t>
  </si>
  <si>
    <t>80099-6</t>
  </si>
  <si>
    <t>91347-2</t>
  </si>
  <si>
    <t>166087-1</t>
  </si>
  <si>
    <t>fairytopia.j.kids@gmail.com</t>
  </si>
  <si>
    <t>futureheroes0@gmail.com</t>
  </si>
  <si>
    <t>منى جميل</t>
  </si>
  <si>
    <t>خليل إبراهيم محمد هجرس</t>
  </si>
  <si>
    <t>وهيبة عبدالرحمن</t>
  </si>
  <si>
    <t xml:space="preserve">بيانات الحضانات المستقلة </t>
  </si>
  <si>
    <t>تغيير مبنى</t>
  </si>
  <si>
    <t>ريم جاسم علي المعاودة</t>
  </si>
  <si>
    <t>kiddykids824@gmail.com</t>
  </si>
  <si>
    <t xml:space="preserve">سمية حسن أحمد عبدعلي </t>
  </si>
  <si>
    <t>حضانة أطفال بلا حدود</t>
  </si>
  <si>
    <t>حضانة سما</t>
  </si>
  <si>
    <t>Sama Nursery</t>
  </si>
  <si>
    <t>حضانة أكاديميا</t>
  </si>
  <si>
    <t>Academia Preschool</t>
  </si>
  <si>
    <t>سابقاً EtonHouse Nursery</t>
  </si>
  <si>
    <t>شركة أونلي ون للتنظيفات ش.ت.ب
الممثل: مرتضى صالح أحمد إبراهيم أحمد</t>
  </si>
  <si>
    <t>جعفر حسين رضي آل رضي</t>
  </si>
  <si>
    <t>شركة دار حضانة مدينة الأطفال ذ.م.م.
تمثلها سمية حسن أحمد حسن عبدعلي</t>
  </si>
  <si>
    <t>Kids Unlimited Nursery</t>
  </si>
  <si>
    <t>مرتضى صالح أحمد إبراهيم أحمد</t>
  </si>
  <si>
    <t>unlimitedkidsnursery@gmail.com</t>
  </si>
  <si>
    <t>sama.nursery11@gmail.com</t>
  </si>
  <si>
    <t>وفاء إبراهيم محمد</t>
  </si>
  <si>
    <t>حضانة الزيتون سابقاً</t>
  </si>
  <si>
    <t>حضانة الأم إلى الأم</t>
  </si>
  <si>
    <t>Mom to Mom Nursery</t>
  </si>
  <si>
    <t>momtomom.prenursery@gmail.com</t>
  </si>
  <si>
    <t>رحاب فيصل</t>
  </si>
  <si>
    <t>39925255 
33272444</t>
  </si>
  <si>
    <t>Learn And Fun Nursery</t>
  </si>
  <si>
    <t>شركة حضانة الزيتون ذ.م.م
تمثلها: السيدة رحاب فيصل علي حسين</t>
  </si>
  <si>
    <t>_</t>
  </si>
  <si>
    <t>17254425-39925255</t>
  </si>
  <si>
    <t>نسيم محمد علي عبداللطيف</t>
  </si>
  <si>
    <t xml:space="preserve">33272444
</t>
  </si>
  <si>
    <t xml:space="preserve">مريم محمود أسماعيل </t>
  </si>
  <si>
    <t>سلام النعيمات</t>
  </si>
  <si>
    <t xml:space="preserve">سارة سعيد </t>
  </si>
  <si>
    <t>آلاء فريد الأدرج</t>
  </si>
  <si>
    <t>رحاب فيصل علي حسين</t>
  </si>
  <si>
    <t xml:space="preserve">
 نور عبدالنبي الشعلة</t>
  </si>
  <si>
    <t>بدرية عيسى محمد مهدي</t>
  </si>
  <si>
    <t xml:space="preserve"> -</t>
  </si>
  <si>
    <t xml:space="preserve">     - </t>
  </si>
  <si>
    <t>سنة الترخيص</t>
  </si>
  <si>
    <t>حضانة الغيوم الصغيرة</t>
  </si>
  <si>
    <t>Tiny Clouds Nursery</t>
  </si>
  <si>
    <t>عالم الصغار سابقاً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</si>
</sst>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1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36"/>
      <color theme="0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6"/>
      <color theme="0"/>
      <name val="Arial"/>
      <family val="2"/>
    </font>
    <font>
      <sz val="15"/>
      <color theme="1"/>
      <name val="Sakkal Majalla"/>
    </font>
    <font>
      <sz val="16"/>
      <color theme="1"/>
      <name val="Sakkal Majall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 readingOrder="2"/>
    </xf>
    <xf numFmtId="0" fontId="1" fillId="4" borderId="1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2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1"/>
    </xf>
    <xf numFmtId="0" fontId="6" fillId="3" borderId="5" xfId="0" applyFont="1" applyFill="1" applyBorder="1" applyAlignment="1">
      <alignment horizontal="center" vertical="center" wrapText="1" readingOrder="1"/>
    </xf>
    <xf numFmtId="0" fontId="6" fillId="4" borderId="5" xfId="0" applyFont="1" applyFill="1" applyBorder="1" applyAlignment="1">
      <alignment horizontal="center" vertical="center" wrapText="1" readingOrder="2"/>
    </xf>
    <xf numFmtId="0" fontId="6" fillId="2" borderId="5" xfId="0" applyFont="1" applyFill="1" applyBorder="1" applyAlignment="1">
      <alignment horizontal="center" vertical="center" wrapText="1" readingOrder="2"/>
    </xf>
    <xf numFmtId="0" fontId="6" fillId="6" borderId="5" xfId="0" applyFont="1" applyFill="1" applyBorder="1" applyAlignment="1">
      <alignment horizontal="center" vertical="center" wrapText="1" readingOrder="2"/>
    </xf>
    <xf numFmtId="0" fontId="11" fillId="4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1"/>
    </xf>
    <xf numFmtId="164" fontId="2" fillId="4" borderId="1" xfId="0" applyNumberFormat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readingOrder="2"/>
    </xf>
    <xf numFmtId="14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  <xf numFmtId="0" fontId="7" fillId="4" borderId="1" xfId="1" applyFill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/>
    </xf>
    <xf numFmtId="14" fontId="2" fillId="4" borderId="1" xfId="0" applyNumberFormat="1" applyFont="1" applyFill="1" applyBorder="1" applyAlignment="1">
      <alignment horizontal="center" vertical="center" wrapText="1" readingOrder="1"/>
    </xf>
    <xf numFmtId="0" fontId="3" fillId="0" borderId="11" xfId="0" applyFont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 readingOrder="2"/>
    </xf>
    <xf numFmtId="0" fontId="1" fillId="6" borderId="1" xfId="0" applyFont="1" applyFill="1" applyBorder="1" applyAlignment="1">
      <alignment horizontal="center" vertical="center" wrapText="1" readingOrder="2"/>
    </xf>
    <xf numFmtId="0" fontId="1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 readingOrder="1"/>
    </xf>
    <xf numFmtId="0" fontId="2" fillId="6" borderId="1" xfId="0" applyFont="1" applyFill="1" applyBorder="1" applyAlignment="1">
      <alignment horizontal="center" vertical="center" readingOrder="2"/>
    </xf>
    <xf numFmtId="0" fontId="2" fillId="6" borderId="1" xfId="0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 wrapText="1" readingOrder="1"/>
    </xf>
    <xf numFmtId="14" fontId="2" fillId="6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 wrapText="1" readingOrder="1"/>
    </xf>
    <xf numFmtId="14" fontId="2" fillId="2" borderId="1" xfId="0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center" vertical="center" wrapText="1" readingOrder="1"/>
    </xf>
    <xf numFmtId="0" fontId="7" fillId="4" borderId="1" xfId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/>
    </xf>
    <xf numFmtId="0" fontId="7" fillId="6" borderId="1" xfId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 readingOrder="1"/>
    </xf>
    <xf numFmtId="0" fontId="16" fillId="4" borderId="0" xfId="0" applyFont="1" applyFill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 readingOrder="2"/>
    </xf>
    <xf numFmtId="0" fontId="20" fillId="0" borderId="0" xfId="0" applyFont="1" applyAlignment="1">
      <alignment horizontal="center" vertical="center" wrapText="1" readingOrder="1"/>
    </xf>
    <xf numFmtId="0" fontId="7" fillId="2" borderId="1" xfId="1" applyFill="1" applyBorder="1" applyAlignment="1">
      <alignment horizontal="center" vertical="center"/>
    </xf>
    <xf numFmtId="0" fontId="7" fillId="2" borderId="1" xfId="1" applyFill="1" applyBorder="1" applyAlignment="1">
      <alignment horizontal="center" vertical="center" wrapText="1"/>
    </xf>
    <xf numFmtId="0" fontId="2" fillId="2" borderId="1" xfId="2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2" fillId="6" borderId="1" xfId="2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 readingOrder="2"/>
    </xf>
    <xf numFmtId="0" fontId="14" fillId="5" borderId="9" xfId="0" applyFont="1" applyFill="1" applyBorder="1" applyAlignment="1">
      <alignment horizontal="center" vertical="center" wrapText="1" readingOrder="2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</cellXfs>
  <cellStyles count="6">
    <cellStyle name="Hyperlink" xfId="1" builtinId="8"/>
    <cellStyle name="Hyperlink 2" xfId="3" xr:uid="{00000000-0005-0000-0000-000001000000}"/>
    <cellStyle name="Normal" xfId="0" builtinId="0"/>
    <cellStyle name="Normal 2" xfId="4" xr:uid="{00000000-0005-0000-0000-000003000000}"/>
    <cellStyle name="Normal 3" xfId="2" xr:uid="{00000000-0005-0000-0000-000004000000}"/>
    <cellStyle name="Percent 2" xfId="5" xr:uid="{00000000-0005-0000-0000-000005000000}"/>
  </cellStyles>
  <dxfs count="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410917</xdr:rowOff>
    </xdr:from>
    <xdr:to>
      <xdr:col>1</xdr:col>
      <xdr:colOff>544243</xdr:colOff>
      <xdr:row>1</xdr:row>
      <xdr:rowOff>136800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CA78E6-ABBD-4144-8E4D-F004078DF2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91"/>
        <a:stretch/>
      </xdr:blipFill>
      <xdr:spPr>
        <a:xfrm>
          <a:off x="13543037382" y="410917"/>
          <a:ext cx="1099868" cy="487883"/>
        </a:xfrm>
        <a:prstGeom prst="rect">
          <a:avLst/>
        </a:prstGeom>
      </xdr:spPr>
    </xdr:pic>
    <xdr:clientData/>
  </xdr:twoCellAnchor>
  <xdr:twoCellAnchor editAs="oneCell">
    <xdr:from>
      <xdr:col>1</xdr:col>
      <xdr:colOff>874334</xdr:colOff>
      <xdr:row>0</xdr:row>
      <xdr:rowOff>333308</xdr:rowOff>
    </xdr:from>
    <xdr:to>
      <xdr:col>1</xdr:col>
      <xdr:colOff>1981278</xdr:colOff>
      <xdr:row>1</xdr:row>
      <xdr:rowOff>12926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6E9176-E5D9-4C3B-8295-30E3CD982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032"/>
        <a:stretch/>
      </xdr:blipFill>
      <xdr:spPr>
        <a:xfrm>
          <a:off x="13541600347" y="333308"/>
          <a:ext cx="1106944" cy="441618"/>
        </a:xfrm>
        <a:prstGeom prst="rect">
          <a:avLst/>
        </a:prstGeom>
      </xdr:spPr>
    </xdr:pic>
    <xdr:clientData/>
  </xdr:twoCellAnchor>
  <xdr:twoCellAnchor editAs="oneCell">
    <xdr:from>
      <xdr:col>0</xdr:col>
      <xdr:colOff>149084</xdr:colOff>
      <xdr:row>0</xdr:row>
      <xdr:rowOff>63500</xdr:rowOff>
    </xdr:from>
    <xdr:to>
      <xdr:col>1</xdr:col>
      <xdr:colOff>1908810</xdr:colOff>
      <xdr:row>0</xdr:row>
      <xdr:rowOff>433477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4A9DF4-AD06-486C-80A4-0A6F88CDC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41672815" y="63500"/>
          <a:ext cx="2378851" cy="369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simsim71@gmail.com" TargetMode="External"/><Relationship Id="rId18" Type="http://schemas.openxmlformats.org/officeDocument/2006/relationships/hyperlink" Target="mailto:mfw_nursery@hotmail.com" TargetMode="External"/><Relationship Id="rId26" Type="http://schemas.openxmlformats.org/officeDocument/2006/relationships/hyperlink" Target="mailto:elegant.nursery.bh@gmail.com" TargetMode="External"/><Relationship Id="rId39" Type="http://schemas.openxmlformats.org/officeDocument/2006/relationships/hyperlink" Target="mailto:littlebear.nursery2023@gmail.com" TargetMode="External"/><Relationship Id="rId21" Type="http://schemas.openxmlformats.org/officeDocument/2006/relationships/hyperlink" Target="mailto:zainabhussain271@icloud.com" TargetMode="External"/><Relationship Id="rId34" Type="http://schemas.openxmlformats.org/officeDocument/2006/relationships/hyperlink" Target="mailto:info@aitd.bh" TargetMode="External"/><Relationship Id="rId42" Type="http://schemas.openxmlformats.org/officeDocument/2006/relationships/hyperlink" Target="mailto:hadhanalifetime@gmail.com" TargetMode="External"/><Relationship Id="rId47" Type="http://schemas.openxmlformats.org/officeDocument/2006/relationships/hyperlink" Target="mailto:Kids.universe2019@gmail.com" TargetMode="External"/><Relationship Id="rId50" Type="http://schemas.openxmlformats.org/officeDocument/2006/relationships/hyperlink" Target="mailto:bambino.daycare.bh@gmail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infobah@LittlePearlsNursery.com" TargetMode="External"/><Relationship Id="rId2" Type="http://schemas.openxmlformats.org/officeDocument/2006/relationships/hyperlink" Target="mailto:office@talentschools.com" TargetMode="External"/><Relationship Id="rId16" Type="http://schemas.openxmlformats.org/officeDocument/2006/relationships/hyperlink" Target="mailto:sarahnursary1975.bh@gmail.com" TargetMode="External"/><Relationship Id="rId29" Type="http://schemas.openxmlformats.org/officeDocument/2006/relationships/hyperlink" Target="mailto:britprepoffice@gmail.com" TargetMode="External"/><Relationship Id="rId11" Type="http://schemas.openxmlformats.org/officeDocument/2006/relationships/hyperlink" Target="mailto:info@kidscornerbh.com" TargetMode="External"/><Relationship Id="rId24" Type="http://schemas.openxmlformats.org/officeDocument/2006/relationships/hyperlink" Target="mailto:elegant.nursery.bh@gmail.com" TargetMode="External"/><Relationship Id="rId32" Type="http://schemas.openxmlformats.org/officeDocument/2006/relationships/hyperlink" Target="mailto:zain@talentschools.com" TargetMode="External"/><Relationship Id="rId37" Type="http://schemas.openxmlformats.org/officeDocument/2006/relationships/hyperlink" Target="mailto:info.kiddycarebh@gmail.com" TargetMode="External"/><Relationship Id="rId40" Type="http://schemas.openxmlformats.org/officeDocument/2006/relationships/hyperlink" Target="mailto:gulfnursery1@gmail.com" TargetMode="External"/><Relationship Id="rId45" Type="http://schemas.openxmlformats.org/officeDocument/2006/relationships/hyperlink" Target="mailto:info@twinkletwinklepreschool.com" TargetMode="External"/><Relationship Id="rId53" Type="http://schemas.openxmlformats.org/officeDocument/2006/relationships/hyperlink" Target="mailto:creativesnursery@gmail.com" TargetMode="External"/><Relationship Id="rId5" Type="http://schemas.openxmlformats.org/officeDocument/2006/relationships/hyperlink" Target="mailto:happymama.nursery@gmail.com" TargetMode="External"/><Relationship Id="rId10" Type="http://schemas.openxmlformats.org/officeDocument/2006/relationships/hyperlink" Target="mailto:Info@Bahrain.Kipinakids.com" TargetMode="External"/><Relationship Id="rId19" Type="http://schemas.openxmlformats.org/officeDocument/2006/relationships/hyperlink" Target="mailto:info.JK.nursery@gmail.com" TargetMode="External"/><Relationship Id="rId31" Type="http://schemas.openxmlformats.org/officeDocument/2006/relationships/hyperlink" Target="mailto:ghsoonfn@gmail.com" TargetMode="External"/><Relationship Id="rId44" Type="http://schemas.openxmlformats.org/officeDocument/2006/relationships/hyperlink" Target="mailto:prodigylane.bh@gmail.com" TargetMode="External"/><Relationship Id="rId52" Type="http://schemas.openxmlformats.org/officeDocument/2006/relationships/hyperlink" Target="mailto:sama.nursery11@gmail.com" TargetMode="External"/><Relationship Id="rId4" Type="http://schemas.openxmlformats.org/officeDocument/2006/relationships/hyperlink" Target="mailto:info@thebritishnursery.com" TargetMode="External"/><Relationship Id="rId9" Type="http://schemas.openxmlformats.org/officeDocument/2006/relationships/hyperlink" Target="mailto:info@littlewondersbh.com" TargetMode="External"/><Relationship Id="rId14" Type="http://schemas.openxmlformats.org/officeDocument/2006/relationships/hyperlink" Target="mailto:jantalatfallnursery@gmail.com" TargetMode="External"/><Relationship Id="rId22" Type="http://schemas.openxmlformats.org/officeDocument/2006/relationships/hyperlink" Target="mailto:info.kwa@kinderworldbh.com" TargetMode="External"/><Relationship Id="rId27" Type="http://schemas.openxmlformats.org/officeDocument/2006/relationships/hyperlink" Target="mailto:saar.nursery@gmail.com" TargetMode="External"/><Relationship Id="rId30" Type="http://schemas.openxmlformats.org/officeDocument/2006/relationships/hyperlink" Target="mailto:info@learnandfundaycare.com" TargetMode="External"/><Relationship Id="rId35" Type="http://schemas.openxmlformats.org/officeDocument/2006/relationships/hyperlink" Target="mailto:amally826@gmail.com" TargetMode="External"/><Relationship Id="rId43" Type="http://schemas.openxmlformats.org/officeDocument/2006/relationships/hyperlink" Target="mailto:fairytopia.kids@gmail.com" TargetMode="External"/><Relationship Id="rId48" Type="http://schemas.openxmlformats.org/officeDocument/2006/relationships/hyperlink" Target="mailto:fairytopia.j.kids@gmail.com" TargetMode="External"/><Relationship Id="rId56" Type="http://schemas.openxmlformats.org/officeDocument/2006/relationships/drawing" Target="../drawings/drawing1.xml"/><Relationship Id="rId8" Type="http://schemas.openxmlformats.org/officeDocument/2006/relationships/hyperlink" Target="mailto:stepbystep.prekg@gmail.com" TargetMode="External"/><Relationship Id="rId51" Type="http://schemas.openxmlformats.org/officeDocument/2006/relationships/hyperlink" Target="mailto:unlimitedkidsnursery@gmail.com" TargetMode="External"/><Relationship Id="rId3" Type="http://schemas.openxmlformats.org/officeDocument/2006/relationships/hyperlink" Target="mailto:info@veryberrybh.com" TargetMode="External"/><Relationship Id="rId12" Type="http://schemas.openxmlformats.org/officeDocument/2006/relationships/hyperlink" Target="mailto:bigbennursery.bh@gmail.com" TargetMode="External"/><Relationship Id="rId17" Type="http://schemas.openxmlformats.org/officeDocument/2006/relationships/hyperlink" Target="mailto:majidalzayani.nursery@gmail.com" TargetMode="External"/><Relationship Id="rId25" Type="http://schemas.openxmlformats.org/officeDocument/2006/relationships/hyperlink" Target="mailto:evolutionchildcare.bh@gmail.com" TargetMode="External"/><Relationship Id="rId33" Type="http://schemas.openxmlformats.org/officeDocument/2006/relationships/hyperlink" Target="mailto:morningstar.nursary@gmail.com" TargetMode="External"/><Relationship Id="rId38" Type="http://schemas.openxmlformats.org/officeDocument/2006/relationships/hyperlink" Target="mailto:info.kwj@kinderworldbh.com" TargetMode="External"/><Relationship Id="rId46" Type="http://schemas.openxmlformats.org/officeDocument/2006/relationships/hyperlink" Target="mailto:kiddykids824@gmail.com" TargetMode="External"/><Relationship Id="rId20" Type="http://schemas.openxmlformats.org/officeDocument/2006/relationships/hyperlink" Target="mailto:charmingnursery@gmail.com" TargetMode="External"/><Relationship Id="rId41" Type="http://schemas.openxmlformats.org/officeDocument/2006/relationships/hyperlink" Target="mailto:kiddie.pre.school.bh@gmail.com" TargetMode="External"/><Relationship Id="rId54" Type="http://schemas.openxmlformats.org/officeDocument/2006/relationships/hyperlink" Target="mailto:administration@etonhouse.me" TargetMode="External"/><Relationship Id="rId1" Type="http://schemas.openxmlformats.org/officeDocument/2006/relationships/hyperlink" Target="mailto:kidzworldnursery.bh@gmail.com" TargetMode="External"/><Relationship Id="rId6" Type="http://schemas.openxmlformats.org/officeDocument/2006/relationships/hyperlink" Target="mailto:kidslandbh@gmail.com" TargetMode="External"/><Relationship Id="rId15" Type="http://schemas.openxmlformats.org/officeDocument/2006/relationships/hyperlink" Target="mailto:littlehouse.bh@gmail.com" TargetMode="External"/><Relationship Id="rId23" Type="http://schemas.openxmlformats.org/officeDocument/2006/relationships/hyperlink" Target="mailto:madeleinespreschool1@gmail.com" TargetMode="External"/><Relationship Id="rId28" Type="http://schemas.openxmlformats.org/officeDocument/2006/relationships/hyperlink" Target="mailto:firststeps.bh@gmail.com" TargetMode="External"/><Relationship Id="rId36" Type="http://schemas.openxmlformats.org/officeDocument/2006/relationships/hyperlink" Target="mailto:admin@gigglesbahrain.com" TargetMode="External"/><Relationship Id="rId49" Type="http://schemas.openxmlformats.org/officeDocument/2006/relationships/hyperlink" Target="mailto:futureheroes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4"/>
  <sheetViews>
    <sheetView rightToLeft="1" tabSelected="1" zoomScale="66" zoomScaleNormal="66" zoomScalePageLayoutView="85" workbookViewId="0">
      <pane ySplit="4" topLeftCell="A62" activePane="bottomLeft" state="frozen"/>
      <selection pane="bottomLeft" activeCell="B65" sqref="B65"/>
    </sheetView>
  </sheetViews>
  <sheetFormatPr defaultColWidth="12.23828125" defaultRowHeight="24.95" customHeight="1" x14ac:dyDescent="0.2"/>
  <cols>
    <col min="1" max="1" width="9.28125" style="1" customWidth="1"/>
    <col min="2" max="2" width="51.7890625" style="1" customWidth="1"/>
    <col min="3" max="3" width="53.40234375" style="1" customWidth="1"/>
    <col min="4" max="4" width="16.6796875" style="1" customWidth="1"/>
    <col min="5" max="6" width="15.33203125" style="1" customWidth="1"/>
    <col min="7" max="7" width="20.71484375" style="1" customWidth="1"/>
    <col min="8" max="8" width="43.58203125" style="1" customWidth="1"/>
    <col min="9" max="9" width="56.765625" style="1" customWidth="1"/>
    <col min="10" max="10" width="20.3125" style="1" customWidth="1"/>
    <col min="11" max="11" width="20.58203125" style="1" customWidth="1"/>
    <col min="12" max="12" width="40.48828125" style="1" customWidth="1"/>
    <col min="13" max="13" width="23" style="1" customWidth="1"/>
    <col min="14" max="14" width="32.015625" style="1" customWidth="1"/>
    <col min="15" max="15" width="22.8671875" style="1" customWidth="1"/>
    <col min="16" max="16" width="32.015625" style="1" customWidth="1"/>
    <col min="17" max="17" width="25.69140625" style="1" customWidth="1"/>
    <col min="18" max="20" width="10.76171875" style="1" customWidth="1"/>
    <col min="21" max="21" width="13.046875" style="1" customWidth="1"/>
    <col min="22" max="22" width="25.69140625" style="1" customWidth="1"/>
    <col min="23" max="23" width="12.23828125" style="1"/>
    <col min="24" max="25" width="14.52734375" style="1" customWidth="1"/>
    <col min="26" max="26" width="19.1015625" style="1" customWidth="1"/>
    <col min="27" max="29" width="12.23828125" style="1"/>
    <col min="30" max="30" width="30.66796875" style="1" customWidth="1"/>
    <col min="31" max="16384" width="12.23828125" style="1"/>
  </cols>
  <sheetData>
    <row r="1" spans="1:29" s="9" customFormat="1" ht="60" customHeight="1" x14ac:dyDescent="0.2"/>
    <row r="2" spans="1:29" ht="53.25" customHeight="1" x14ac:dyDescent="0.2">
      <c r="A2" s="63" t="s">
        <v>681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ht="30" customHeight="1" x14ac:dyDescent="0.2">
      <c r="A3" s="70" t="s">
        <v>5</v>
      </c>
      <c r="B3" s="71" t="s">
        <v>505</v>
      </c>
      <c r="C3" s="71" t="s">
        <v>428</v>
      </c>
      <c r="D3" s="72" t="s">
        <v>1</v>
      </c>
      <c r="E3" s="72" t="s">
        <v>0</v>
      </c>
      <c r="F3" s="72" t="s">
        <v>8</v>
      </c>
      <c r="G3" s="72" t="s">
        <v>303</v>
      </c>
      <c r="H3" s="72" t="s">
        <v>10</v>
      </c>
      <c r="I3" s="72" t="s">
        <v>11</v>
      </c>
      <c r="J3" s="72" t="s">
        <v>12</v>
      </c>
      <c r="K3" s="75" t="s">
        <v>669</v>
      </c>
      <c r="L3" s="72" t="s">
        <v>13</v>
      </c>
      <c r="M3" s="72" t="s">
        <v>14</v>
      </c>
      <c r="N3" s="72" t="s">
        <v>15</v>
      </c>
      <c r="O3" s="72" t="s">
        <v>16</v>
      </c>
      <c r="P3" s="72" t="s">
        <v>17</v>
      </c>
      <c r="Q3" s="72" t="s">
        <v>18</v>
      </c>
      <c r="R3" s="72" t="s">
        <v>19</v>
      </c>
      <c r="S3" s="72" t="s">
        <v>20</v>
      </c>
      <c r="T3" s="72" t="s">
        <v>21</v>
      </c>
      <c r="U3" s="72" t="s">
        <v>22</v>
      </c>
      <c r="V3" s="72" t="s">
        <v>23</v>
      </c>
      <c r="W3" s="72" t="s">
        <v>511</v>
      </c>
      <c r="X3" s="72" t="s">
        <v>7</v>
      </c>
      <c r="Y3" s="75" t="s">
        <v>721</v>
      </c>
      <c r="Z3" s="77" t="s">
        <v>512</v>
      </c>
      <c r="AA3" s="78"/>
      <c r="AB3" s="72" t="s">
        <v>294</v>
      </c>
      <c r="AC3" s="72" t="s">
        <v>9</v>
      </c>
    </row>
    <row r="4" spans="1:29" ht="31.5" customHeight="1" x14ac:dyDescent="0.25">
      <c r="A4" s="70"/>
      <c r="B4" s="71"/>
      <c r="C4" s="71"/>
      <c r="D4" s="72"/>
      <c r="E4" s="72"/>
      <c r="F4" s="72"/>
      <c r="G4" s="72"/>
      <c r="H4" s="72"/>
      <c r="I4" s="72"/>
      <c r="J4" s="72"/>
      <c r="K4" s="76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6"/>
      <c r="Z4" s="3" t="s">
        <v>513</v>
      </c>
      <c r="AA4" s="3" t="s">
        <v>514</v>
      </c>
      <c r="AB4" s="72"/>
      <c r="AC4" s="72"/>
    </row>
    <row r="5" spans="1:29" ht="30" customHeight="1" x14ac:dyDescent="0.2">
      <c r="A5" s="4">
        <v>1</v>
      </c>
      <c r="B5" s="10" t="s">
        <v>24</v>
      </c>
      <c r="C5" s="11" t="s">
        <v>608</v>
      </c>
      <c r="D5" s="27" t="s">
        <v>4</v>
      </c>
      <c r="E5" s="28" t="s">
        <v>3</v>
      </c>
      <c r="F5" s="32">
        <v>145</v>
      </c>
      <c r="G5" s="32">
        <v>38080005</v>
      </c>
      <c r="H5" s="34" t="s">
        <v>676</v>
      </c>
      <c r="I5" s="32" t="s">
        <v>666</v>
      </c>
      <c r="J5" s="32">
        <v>33374247</v>
      </c>
      <c r="K5" s="32"/>
      <c r="L5" s="32" t="s">
        <v>712</v>
      </c>
      <c r="M5" s="32">
        <v>38080005</v>
      </c>
      <c r="N5" s="32" t="s">
        <v>302</v>
      </c>
      <c r="O5" s="32">
        <v>34186187</v>
      </c>
      <c r="P5" s="32" t="s">
        <v>301</v>
      </c>
      <c r="Q5" s="32">
        <v>39939929</v>
      </c>
      <c r="R5" s="32">
        <v>1985</v>
      </c>
      <c r="S5" s="32">
        <v>2955</v>
      </c>
      <c r="T5" s="32">
        <v>729</v>
      </c>
      <c r="U5" s="32" t="s">
        <v>220</v>
      </c>
      <c r="V5" s="32" t="s">
        <v>298</v>
      </c>
      <c r="W5" s="29">
        <v>42047</v>
      </c>
      <c r="X5" s="30" t="s">
        <v>300</v>
      </c>
      <c r="Y5" s="32">
        <v>2009</v>
      </c>
      <c r="Z5" s="31" t="s">
        <v>515</v>
      </c>
      <c r="AA5" s="32" t="s">
        <v>516</v>
      </c>
      <c r="AB5" s="32" t="s">
        <v>673</v>
      </c>
      <c r="AC5" s="32">
        <v>10</v>
      </c>
    </row>
    <row r="6" spans="1:29" ht="30" customHeight="1" x14ac:dyDescent="0.2">
      <c r="A6" s="4">
        <v>2</v>
      </c>
      <c r="B6" s="10" t="s">
        <v>25</v>
      </c>
      <c r="C6" s="11" t="s">
        <v>304</v>
      </c>
      <c r="D6" s="27" t="s">
        <v>4</v>
      </c>
      <c r="E6" s="28" t="s">
        <v>2</v>
      </c>
      <c r="F6" s="32">
        <v>246</v>
      </c>
      <c r="G6" s="32">
        <v>17694356</v>
      </c>
      <c r="H6" s="32" t="s">
        <v>306</v>
      </c>
      <c r="I6" s="27" t="s">
        <v>307</v>
      </c>
      <c r="J6" s="32">
        <v>37755755</v>
      </c>
      <c r="K6" s="32"/>
      <c r="L6" s="32" t="s">
        <v>308</v>
      </c>
      <c r="M6" s="32">
        <v>33436000</v>
      </c>
      <c r="N6" s="32"/>
      <c r="O6" s="32"/>
      <c r="P6" s="32"/>
      <c r="Q6" s="32"/>
      <c r="R6" s="32">
        <v>73</v>
      </c>
      <c r="S6" s="32">
        <v>21</v>
      </c>
      <c r="T6" s="32">
        <v>517</v>
      </c>
      <c r="U6" s="32" t="s">
        <v>238</v>
      </c>
      <c r="V6" s="32" t="s">
        <v>297</v>
      </c>
      <c r="W6" s="29">
        <v>42061</v>
      </c>
      <c r="X6" s="30" t="s">
        <v>517</v>
      </c>
      <c r="Y6" s="32">
        <v>1993</v>
      </c>
      <c r="Z6" s="32" t="s">
        <v>518</v>
      </c>
      <c r="AA6" s="32" t="s">
        <v>519</v>
      </c>
      <c r="AB6" s="32" t="s">
        <v>305</v>
      </c>
      <c r="AC6" s="32">
        <v>4</v>
      </c>
    </row>
    <row r="7" spans="1:29" ht="30" customHeight="1" x14ac:dyDescent="0.2">
      <c r="A7" s="4">
        <v>3</v>
      </c>
      <c r="B7" s="10" t="s">
        <v>26</v>
      </c>
      <c r="C7" s="11" t="s">
        <v>27</v>
      </c>
      <c r="D7" s="27" t="s">
        <v>4</v>
      </c>
      <c r="E7" s="28" t="s">
        <v>3</v>
      </c>
      <c r="F7" s="32">
        <v>68</v>
      </c>
      <c r="G7" s="32">
        <v>39956283</v>
      </c>
      <c r="H7" s="33" t="s">
        <v>430</v>
      </c>
      <c r="I7" s="32" t="s">
        <v>400</v>
      </c>
      <c r="J7" s="32">
        <v>17689909</v>
      </c>
      <c r="K7" s="32"/>
      <c r="L7" s="32" t="s">
        <v>429</v>
      </c>
      <c r="M7" s="32">
        <v>39065799</v>
      </c>
      <c r="N7" s="32" t="s">
        <v>429</v>
      </c>
      <c r="O7" s="32">
        <v>39065799</v>
      </c>
      <c r="P7" s="32" t="s">
        <v>429</v>
      </c>
      <c r="Q7" s="32">
        <v>39065799</v>
      </c>
      <c r="R7" s="32" t="s">
        <v>401</v>
      </c>
      <c r="S7" s="32">
        <v>1411</v>
      </c>
      <c r="T7" s="32">
        <v>914</v>
      </c>
      <c r="U7" s="32" t="s">
        <v>402</v>
      </c>
      <c r="V7" s="32" t="s">
        <v>298</v>
      </c>
      <c r="W7" s="29">
        <v>42100</v>
      </c>
      <c r="X7" s="30" t="s">
        <v>520</v>
      </c>
      <c r="Y7" s="32">
        <v>2015</v>
      </c>
      <c r="Z7" s="31">
        <v>44322</v>
      </c>
      <c r="AA7" s="31">
        <v>45052</v>
      </c>
      <c r="AB7" s="32" t="s">
        <v>605</v>
      </c>
      <c r="AC7" s="32">
        <v>8</v>
      </c>
    </row>
    <row r="8" spans="1:29" ht="30" customHeight="1" x14ac:dyDescent="0.2">
      <c r="A8" s="4">
        <v>4</v>
      </c>
      <c r="B8" s="10" t="s">
        <v>431</v>
      </c>
      <c r="C8" s="11" t="s">
        <v>30</v>
      </c>
      <c r="D8" s="27" t="s">
        <v>4</v>
      </c>
      <c r="E8" s="28" t="s">
        <v>3</v>
      </c>
      <c r="F8" s="32">
        <v>68</v>
      </c>
      <c r="G8" s="32">
        <v>17593317</v>
      </c>
      <c r="H8" s="33" t="s">
        <v>405</v>
      </c>
      <c r="I8" s="32" t="s">
        <v>317</v>
      </c>
      <c r="J8" s="32">
        <v>33277613</v>
      </c>
      <c r="K8" s="32"/>
      <c r="L8" s="32" t="s">
        <v>317</v>
      </c>
      <c r="M8" s="32">
        <v>33277613</v>
      </c>
      <c r="N8" s="32" t="s">
        <v>317</v>
      </c>
      <c r="O8" s="32">
        <v>33277613</v>
      </c>
      <c r="P8" s="32" t="s">
        <v>317</v>
      </c>
      <c r="Q8" s="32">
        <v>33277613</v>
      </c>
      <c r="R8" s="32">
        <v>1440</v>
      </c>
      <c r="S8" s="32">
        <v>5049</v>
      </c>
      <c r="T8" s="32">
        <v>450</v>
      </c>
      <c r="U8" s="32" t="s">
        <v>318</v>
      </c>
      <c r="V8" s="32" t="s">
        <v>297</v>
      </c>
      <c r="W8" s="29">
        <v>42100</v>
      </c>
      <c r="X8" s="30" t="s">
        <v>522</v>
      </c>
      <c r="Y8" s="68">
        <v>2013</v>
      </c>
      <c r="Z8" s="35">
        <v>43591</v>
      </c>
      <c r="AA8" s="31">
        <v>44322</v>
      </c>
      <c r="AB8" s="32" t="s">
        <v>316</v>
      </c>
      <c r="AC8" s="32">
        <v>9</v>
      </c>
    </row>
    <row r="9" spans="1:29" ht="30" customHeight="1" x14ac:dyDescent="0.2">
      <c r="A9" s="4">
        <v>5</v>
      </c>
      <c r="B9" s="10" t="s">
        <v>31</v>
      </c>
      <c r="C9" s="11" t="s">
        <v>432</v>
      </c>
      <c r="D9" s="27" t="s">
        <v>4</v>
      </c>
      <c r="E9" s="28" t="s">
        <v>2</v>
      </c>
      <c r="F9" s="32">
        <v>64</v>
      </c>
      <c r="G9" s="32">
        <v>17345090</v>
      </c>
      <c r="H9" s="32" t="s">
        <v>320</v>
      </c>
      <c r="I9" s="27" t="s">
        <v>321</v>
      </c>
      <c r="J9" s="32">
        <v>32221155</v>
      </c>
      <c r="K9" s="32"/>
      <c r="L9" s="32" t="s">
        <v>322</v>
      </c>
      <c r="M9" s="32">
        <v>34117974</v>
      </c>
      <c r="N9" s="27" t="s">
        <v>321</v>
      </c>
      <c r="O9" s="32">
        <v>32221155</v>
      </c>
      <c r="P9" s="32" t="s">
        <v>323</v>
      </c>
      <c r="Q9" s="32">
        <v>17345090</v>
      </c>
      <c r="R9" s="32">
        <v>115</v>
      </c>
      <c r="S9" s="32">
        <v>3604</v>
      </c>
      <c r="T9" s="32">
        <v>736</v>
      </c>
      <c r="U9" s="32" t="s">
        <v>324</v>
      </c>
      <c r="V9" s="32" t="s">
        <v>297</v>
      </c>
      <c r="W9" s="29">
        <v>42190</v>
      </c>
      <c r="X9" s="30" t="s">
        <v>523</v>
      </c>
      <c r="Y9" s="32">
        <v>2015</v>
      </c>
      <c r="Z9" s="31">
        <v>45143</v>
      </c>
      <c r="AA9" s="31">
        <v>45874</v>
      </c>
      <c r="AB9" s="32" t="s">
        <v>319</v>
      </c>
      <c r="AC9" s="32">
        <v>4</v>
      </c>
    </row>
    <row r="10" spans="1:29" ht="30" customHeight="1" x14ac:dyDescent="0.2">
      <c r="A10" s="4">
        <v>6</v>
      </c>
      <c r="B10" s="10" t="s">
        <v>32</v>
      </c>
      <c r="C10" s="11" t="s">
        <v>33</v>
      </c>
      <c r="D10" s="27" t="s">
        <v>4</v>
      </c>
      <c r="E10" s="28" t="s">
        <v>2</v>
      </c>
      <c r="F10" s="32">
        <v>70</v>
      </c>
      <c r="G10" s="32">
        <v>17274848</v>
      </c>
      <c r="H10" s="34" t="s">
        <v>634</v>
      </c>
      <c r="I10" s="32" t="s">
        <v>326</v>
      </c>
      <c r="J10" s="32">
        <v>33315513</v>
      </c>
      <c r="K10" s="32"/>
      <c r="L10" s="32" t="s">
        <v>326</v>
      </c>
      <c r="M10" s="32">
        <v>33315513</v>
      </c>
      <c r="N10" s="32" t="s">
        <v>326</v>
      </c>
      <c r="O10" s="32">
        <v>33315513</v>
      </c>
      <c r="P10" s="32" t="s">
        <v>327</v>
      </c>
      <c r="Q10" s="32">
        <v>33315513</v>
      </c>
      <c r="R10" s="32">
        <v>233</v>
      </c>
      <c r="S10" s="32">
        <v>1303</v>
      </c>
      <c r="T10" s="32">
        <v>1213</v>
      </c>
      <c r="U10" s="32" t="s">
        <v>328</v>
      </c>
      <c r="V10" s="32" t="s">
        <v>297</v>
      </c>
      <c r="W10" s="29">
        <v>42100</v>
      </c>
      <c r="X10" s="30" t="s">
        <v>524</v>
      </c>
      <c r="Y10" s="32">
        <v>2013</v>
      </c>
      <c r="Z10" s="31">
        <v>44292</v>
      </c>
      <c r="AA10" s="31">
        <v>45022</v>
      </c>
      <c r="AB10" s="32" t="s">
        <v>325</v>
      </c>
      <c r="AC10" s="32">
        <v>7</v>
      </c>
    </row>
    <row r="11" spans="1:29" ht="30" customHeight="1" x14ac:dyDescent="0.2">
      <c r="A11" s="4">
        <v>7</v>
      </c>
      <c r="B11" s="10" t="s">
        <v>34</v>
      </c>
      <c r="C11" s="11" t="s">
        <v>35</v>
      </c>
      <c r="D11" s="27" t="s">
        <v>4</v>
      </c>
      <c r="E11" s="28" t="s">
        <v>2</v>
      </c>
      <c r="F11" s="32">
        <v>150</v>
      </c>
      <c r="G11" s="32">
        <v>17180760</v>
      </c>
      <c r="H11" s="33" t="s">
        <v>416</v>
      </c>
      <c r="I11" s="27" t="s">
        <v>420</v>
      </c>
      <c r="J11" s="32">
        <v>36370037</v>
      </c>
      <c r="K11" s="32"/>
      <c r="L11" s="27" t="s">
        <v>420</v>
      </c>
      <c r="M11" s="32">
        <v>36370037</v>
      </c>
      <c r="N11" s="32" t="s">
        <v>421</v>
      </c>
      <c r="O11" s="32">
        <v>39634208</v>
      </c>
      <c r="P11" s="27" t="s">
        <v>420</v>
      </c>
      <c r="Q11" s="32">
        <v>36370037</v>
      </c>
      <c r="R11" s="32">
        <v>3697</v>
      </c>
      <c r="S11" s="32">
        <v>909</v>
      </c>
      <c r="T11" s="32">
        <v>809</v>
      </c>
      <c r="U11" s="32" t="s">
        <v>220</v>
      </c>
      <c r="V11" s="32" t="s">
        <v>298</v>
      </c>
      <c r="W11" s="29">
        <v>42042</v>
      </c>
      <c r="X11" s="30" t="s">
        <v>525</v>
      </c>
      <c r="Y11" s="32">
        <v>2005</v>
      </c>
      <c r="Z11" s="31">
        <v>43531</v>
      </c>
      <c r="AA11" s="31">
        <v>44262</v>
      </c>
      <c r="AB11" s="32" t="s">
        <v>592</v>
      </c>
      <c r="AC11" s="32">
        <v>9</v>
      </c>
    </row>
    <row r="12" spans="1:29" ht="30" customHeight="1" x14ac:dyDescent="0.2">
      <c r="A12" s="4">
        <v>8</v>
      </c>
      <c r="B12" s="10" t="s">
        <v>36</v>
      </c>
      <c r="C12" s="11" t="s">
        <v>37</v>
      </c>
      <c r="D12" s="27" t="s">
        <v>4</v>
      </c>
      <c r="E12" s="28" t="s">
        <v>2</v>
      </c>
      <c r="F12" s="32">
        <v>125</v>
      </c>
      <c r="G12" s="32">
        <v>17223213</v>
      </c>
      <c r="H12" s="34" t="s">
        <v>510</v>
      </c>
      <c r="I12" s="32" t="s">
        <v>417</v>
      </c>
      <c r="J12" s="36">
        <v>33330253</v>
      </c>
      <c r="K12" s="36"/>
      <c r="L12" s="32" t="s">
        <v>713</v>
      </c>
      <c r="M12" s="32">
        <v>34361229</v>
      </c>
      <c r="N12" s="32" t="s">
        <v>417</v>
      </c>
      <c r="O12" s="36">
        <v>33330253</v>
      </c>
      <c r="P12" s="32"/>
      <c r="Q12" s="32"/>
      <c r="R12" s="32" t="s">
        <v>418</v>
      </c>
      <c r="S12" s="32">
        <v>3199</v>
      </c>
      <c r="T12" s="32">
        <v>331</v>
      </c>
      <c r="U12" s="32" t="s">
        <v>419</v>
      </c>
      <c r="V12" s="32" t="s">
        <v>296</v>
      </c>
      <c r="W12" s="29">
        <v>42100</v>
      </c>
      <c r="X12" s="30" t="s">
        <v>526</v>
      </c>
      <c r="Y12" s="32">
        <v>2004</v>
      </c>
      <c r="Z12" s="31">
        <v>44322</v>
      </c>
      <c r="AA12" s="31">
        <v>45052</v>
      </c>
      <c r="AB12" s="32" t="s">
        <v>593</v>
      </c>
      <c r="AC12" s="32"/>
    </row>
    <row r="13" spans="1:29" ht="30" customHeight="1" x14ac:dyDescent="0.2">
      <c r="A13" s="4">
        <v>9</v>
      </c>
      <c r="B13" s="10" t="s">
        <v>38</v>
      </c>
      <c r="C13" s="11" t="s">
        <v>39</v>
      </c>
      <c r="D13" s="27" t="s">
        <v>4</v>
      </c>
      <c r="E13" s="28" t="s">
        <v>3</v>
      </c>
      <c r="F13" s="32">
        <v>55</v>
      </c>
      <c r="G13" s="32">
        <v>17405271</v>
      </c>
      <c r="H13" s="33" t="s">
        <v>403</v>
      </c>
      <c r="I13" s="32" t="s">
        <v>422</v>
      </c>
      <c r="J13" s="32">
        <v>33107077</v>
      </c>
      <c r="K13" s="32"/>
      <c r="L13" s="32" t="s">
        <v>422</v>
      </c>
      <c r="M13" s="32">
        <v>33107077</v>
      </c>
      <c r="N13" s="32" t="s">
        <v>423</v>
      </c>
      <c r="O13" s="32" t="s">
        <v>424</v>
      </c>
      <c r="P13" s="32"/>
      <c r="Q13" s="32"/>
      <c r="R13" s="32">
        <v>1966</v>
      </c>
      <c r="S13" s="32">
        <v>3639</v>
      </c>
      <c r="T13" s="32">
        <v>736</v>
      </c>
      <c r="U13" s="32" t="s">
        <v>425</v>
      </c>
      <c r="V13" s="32" t="s">
        <v>297</v>
      </c>
      <c r="W13" s="29">
        <v>42163</v>
      </c>
      <c r="X13" s="30" t="s">
        <v>527</v>
      </c>
      <c r="Y13" s="32">
        <v>2015</v>
      </c>
      <c r="Z13" s="31">
        <v>44385</v>
      </c>
      <c r="AA13" s="31">
        <v>45115</v>
      </c>
      <c r="AB13" s="32" t="s">
        <v>594</v>
      </c>
      <c r="AC13" s="32"/>
    </row>
    <row r="14" spans="1:29" ht="30" customHeight="1" x14ac:dyDescent="0.2">
      <c r="A14" s="4">
        <v>10</v>
      </c>
      <c r="B14" s="10" t="s">
        <v>40</v>
      </c>
      <c r="C14" s="26" t="s">
        <v>329</v>
      </c>
      <c r="D14" s="27" t="s">
        <v>4</v>
      </c>
      <c r="E14" s="28" t="s">
        <v>2</v>
      </c>
      <c r="F14" s="32">
        <v>80</v>
      </c>
      <c r="G14" s="32">
        <v>17613144</v>
      </c>
      <c r="H14" s="32" t="s">
        <v>168</v>
      </c>
      <c r="I14" s="27" t="s">
        <v>507</v>
      </c>
      <c r="J14" s="32">
        <v>36446444</v>
      </c>
      <c r="K14" s="32"/>
      <c r="L14" s="32" t="s">
        <v>169</v>
      </c>
      <c r="M14" s="32">
        <v>38713144</v>
      </c>
      <c r="N14" s="32" t="s">
        <v>170</v>
      </c>
      <c r="O14" s="32">
        <v>36544405</v>
      </c>
      <c r="P14" s="32" t="s">
        <v>171</v>
      </c>
      <c r="Q14" s="32">
        <v>37101154</v>
      </c>
      <c r="R14" s="32">
        <v>1807</v>
      </c>
      <c r="S14" s="32">
        <v>1435</v>
      </c>
      <c r="T14" s="32">
        <v>1014</v>
      </c>
      <c r="U14" s="32" t="s">
        <v>253</v>
      </c>
      <c r="V14" s="32" t="s">
        <v>297</v>
      </c>
      <c r="W14" s="29">
        <v>42042</v>
      </c>
      <c r="X14" s="30" t="s">
        <v>528</v>
      </c>
      <c r="Y14" s="32">
        <v>2015</v>
      </c>
      <c r="Z14" s="31">
        <v>44262</v>
      </c>
      <c r="AA14" s="31">
        <v>44992</v>
      </c>
      <c r="AB14" s="32" t="s">
        <v>330</v>
      </c>
      <c r="AC14" s="32">
        <v>4</v>
      </c>
    </row>
    <row r="15" spans="1:29" ht="30" customHeight="1" x14ac:dyDescent="0.2">
      <c r="A15" s="4">
        <v>11</v>
      </c>
      <c r="B15" s="10" t="s">
        <v>41</v>
      </c>
      <c r="C15" s="10" t="s">
        <v>331</v>
      </c>
      <c r="D15" s="27" t="s">
        <v>4</v>
      </c>
      <c r="E15" s="28" t="s">
        <v>2</v>
      </c>
      <c r="F15" s="32">
        <v>35</v>
      </c>
      <c r="G15" s="32">
        <v>17252346</v>
      </c>
      <c r="H15" s="33" t="s">
        <v>173</v>
      </c>
      <c r="I15" s="32" t="s">
        <v>174</v>
      </c>
      <c r="J15" s="32">
        <v>39670078</v>
      </c>
      <c r="K15" s="32"/>
      <c r="L15" s="32" t="s">
        <v>174</v>
      </c>
      <c r="M15" s="32">
        <v>39670078</v>
      </c>
      <c r="N15" s="32" t="s">
        <v>175</v>
      </c>
      <c r="O15" s="32">
        <v>66388036</v>
      </c>
      <c r="P15" s="32" t="s">
        <v>175</v>
      </c>
      <c r="Q15" s="32" t="s">
        <v>176</v>
      </c>
      <c r="R15" s="32">
        <v>1387</v>
      </c>
      <c r="S15" s="32">
        <v>5641</v>
      </c>
      <c r="T15" s="32">
        <v>356</v>
      </c>
      <c r="U15" s="32" t="s">
        <v>615</v>
      </c>
      <c r="V15" s="32" t="s">
        <v>296</v>
      </c>
      <c r="W15" s="29">
        <v>42254</v>
      </c>
      <c r="X15" s="30" t="s">
        <v>172</v>
      </c>
      <c r="Y15" s="32">
        <v>1971</v>
      </c>
      <c r="Z15" s="31">
        <v>44476</v>
      </c>
      <c r="AA15" s="31">
        <v>45206</v>
      </c>
      <c r="AB15" s="32" t="s">
        <v>332</v>
      </c>
      <c r="AC15" s="32">
        <v>1</v>
      </c>
    </row>
    <row r="16" spans="1:29" ht="30" customHeight="1" x14ac:dyDescent="0.2">
      <c r="A16" s="4">
        <v>12</v>
      </c>
      <c r="B16" s="10" t="s">
        <v>42</v>
      </c>
      <c r="C16" s="11" t="s">
        <v>43</v>
      </c>
      <c r="D16" s="27" t="s">
        <v>4</v>
      </c>
      <c r="E16" s="28" t="s">
        <v>3</v>
      </c>
      <c r="F16" s="32">
        <v>88</v>
      </c>
      <c r="G16" s="32">
        <v>17300857</v>
      </c>
      <c r="H16" s="33" t="s">
        <v>436</v>
      </c>
      <c r="I16" s="32" t="s">
        <v>437</v>
      </c>
      <c r="J16" s="32">
        <v>34596600</v>
      </c>
      <c r="K16" s="32"/>
      <c r="L16" s="32" t="s">
        <v>678</v>
      </c>
      <c r="M16" s="32">
        <v>39494924</v>
      </c>
      <c r="N16" s="32" t="s">
        <v>437</v>
      </c>
      <c r="O16" s="32">
        <v>34596600</v>
      </c>
      <c r="P16" s="32" t="s">
        <v>433</v>
      </c>
      <c r="Q16" s="32">
        <v>39829800</v>
      </c>
      <c r="R16" s="32">
        <v>2327</v>
      </c>
      <c r="S16" s="32">
        <v>3358</v>
      </c>
      <c r="T16" s="32">
        <v>433</v>
      </c>
      <c r="U16" s="32" t="s">
        <v>438</v>
      </c>
      <c r="V16" s="32" t="s">
        <v>297</v>
      </c>
      <c r="W16" s="29">
        <v>41741</v>
      </c>
      <c r="X16" s="30" t="s">
        <v>434</v>
      </c>
      <c r="Y16" s="32">
        <v>2014</v>
      </c>
      <c r="Z16" s="31">
        <v>43963</v>
      </c>
      <c r="AA16" s="31">
        <v>44693</v>
      </c>
      <c r="AB16" s="32" t="s">
        <v>435</v>
      </c>
      <c r="AC16" s="32">
        <v>7</v>
      </c>
    </row>
    <row r="17" spans="1:29" ht="30" customHeight="1" x14ac:dyDescent="0.2">
      <c r="A17" s="4">
        <v>13</v>
      </c>
      <c r="B17" s="10" t="s">
        <v>44</v>
      </c>
      <c r="C17" s="11" t="s">
        <v>45</v>
      </c>
      <c r="D17" s="27" t="s">
        <v>4</v>
      </c>
      <c r="E17" s="28" t="s">
        <v>3</v>
      </c>
      <c r="F17" s="32">
        <v>131</v>
      </c>
      <c r="G17" s="32">
        <v>33084040</v>
      </c>
      <c r="H17" s="32" t="s">
        <v>178</v>
      </c>
      <c r="I17" s="32" t="s">
        <v>179</v>
      </c>
      <c r="J17" s="32">
        <v>39676864</v>
      </c>
      <c r="K17" s="32"/>
      <c r="L17" s="32" t="s">
        <v>179</v>
      </c>
      <c r="M17" s="32">
        <v>39676864</v>
      </c>
      <c r="N17" s="32" t="s">
        <v>179</v>
      </c>
      <c r="O17" s="32">
        <v>39676864</v>
      </c>
      <c r="P17" s="32" t="s">
        <v>179</v>
      </c>
      <c r="Q17" s="32">
        <v>39676864</v>
      </c>
      <c r="R17" s="32">
        <v>165</v>
      </c>
      <c r="S17" s="32">
        <v>4</v>
      </c>
      <c r="T17" s="32">
        <v>609</v>
      </c>
      <c r="U17" s="32" t="s">
        <v>180</v>
      </c>
      <c r="V17" s="32" t="s">
        <v>296</v>
      </c>
      <c r="W17" s="29">
        <v>41741</v>
      </c>
      <c r="X17" s="30" t="s">
        <v>177</v>
      </c>
      <c r="Y17" s="32">
        <v>2014</v>
      </c>
      <c r="Z17" s="31">
        <v>44693</v>
      </c>
      <c r="AA17" s="31">
        <v>45424</v>
      </c>
      <c r="AB17" s="32" t="s">
        <v>333</v>
      </c>
      <c r="AC17" s="32">
        <v>8</v>
      </c>
    </row>
    <row r="18" spans="1:29" ht="30" customHeight="1" x14ac:dyDescent="0.2">
      <c r="A18" s="4">
        <v>14</v>
      </c>
      <c r="B18" s="10" t="s">
        <v>46</v>
      </c>
      <c r="C18" s="11" t="s">
        <v>439</v>
      </c>
      <c r="D18" s="27" t="s">
        <v>4</v>
      </c>
      <c r="E18" s="28" t="s">
        <v>3</v>
      </c>
      <c r="F18" s="32">
        <v>73</v>
      </c>
      <c r="G18" s="27" t="s">
        <v>440</v>
      </c>
      <c r="H18" s="33" t="s">
        <v>182</v>
      </c>
      <c r="I18" s="27" t="s">
        <v>335</v>
      </c>
      <c r="J18" s="27" t="s">
        <v>441</v>
      </c>
      <c r="K18" s="27"/>
      <c r="L18" s="27" t="s">
        <v>183</v>
      </c>
      <c r="M18" s="32">
        <v>66334664</v>
      </c>
      <c r="N18" s="27" t="s">
        <v>335</v>
      </c>
      <c r="O18" s="27" t="s">
        <v>441</v>
      </c>
      <c r="P18" s="27" t="s">
        <v>184</v>
      </c>
      <c r="Q18" s="27" t="s">
        <v>442</v>
      </c>
      <c r="R18" s="32">
        <v>2356</v>
      </c>
      <c r="S18" s="32">
        <v>4568</v>
      </c>
      <c r="T18" s="32">
        <v>745</v>
      </c>
      <c r="U18" s="32" t="s">
        <v>185</v>
      </c>
      <c r="V18" s="32" t="s">
        <v>296</v>
      </c>
      <c r="W18" s="29">
        <v>42340</v>
      </c>
      <c r="X18" s="30" t="s">
        <v>181</v>
      </c>
      <c r="Y18" s="32">
        <v>2015</v>
      </c>
      <c r="Z18" s="31" t="s">
        <v>515</v>
      </c>
      <c r="AA18" s="32" t="s">
        <v>516</v>
      </c>
      <c r="AB18" s="32" t="s">
        <v>334</v>
      </c>
      <c r="AC18" s="32">
        <v>5</v>
      </c>
    </row>
    <row r="19" spans="1:29" ht="44.25" customHeight="1" x14ac:dyDescent="0.2">
      <c r="A19" s="4">
        <v>15</v>
      </c>
      <c r="B19" s="10" t="s">
        <v>47</v>
      </c>
      <c r="C19" s="11" t="s">
        <v>48</v>
      </c>
      <c r="D19" s="27" t="s">
        <v>4</v>
      </c>
      <c r="E19" s="28" t="s">
        <v>2</v>
      </c>
      <c r="F19" s="32">
        <v>88</v>
      </c>
      <c r="G19" s="32" t="s">
        <v>186</v>
      </c>
      <c r="H19" s="33" t="s">
        <v>187</v>
      </c>
      <c r="I19" s="27" t="s">
        <v>188</v>
      </c>
      <c r="J19" s="32">
        <v>39666554</v>
      </c>
      <c r="K19" s="32"/>
      <c r="L19" s="32" t="s">
        <v>189</v>
      </c>
      <c r="M19" s="32">
        <v>39972309</v>
      </c>
      <c r="N19" s="32" t="s">
        <v>190</v>
      </c>
      <c r="O19" s="32">
        <v>33511554</v>
      </c>
      <c r="P19" s="32" t="s">
        <v>190</v>
      </c>
      <c r="Q19" s="32">
        <v>33511554</v>
      </c>
      <c r="R19" s="32">
        <v>1123</v>
      </c>
      <c r="S19" s="32">
        <v>2629</v>
      </c>
      <c r="T19" s="32">
        <v>926</v>
      </c>
      <c r="U19" s="32" t="s">
        <v>167</v>
      </c>
      <c r="V19" s="32" t="s">
        <v>298</v>
      </c>
      <c r="W19" s="29" t="s">
        <v>529</v>
      </c>
      <c r="X19" s="30" t="s">
        <v>530</v>
      </c>
      <c r="Y19" s="32">
        <v>2017</v>
      </c>
      <c r="Z19" s="31" t="s">
        <v>531</v>
      </c>
      <c r="AA19" s="32" t="s">
        <v>532</v>
      </c>
      <c r="AB19" s="32" t="s">
        <v>336</v>
      </c>
      <c r="AC19" s="32">
        <v>6</v>
      </c>
    </row>
    <row r="20" spans="1:29" ht="30" customHeight="1" x14ac:dyDescent="0.2">
      <c r="A20" s="4">
        <v>16</v>
      </c>
      <c r="B20" s="10" t="s">
        <v>49</v>
      </c>
      <c r="C20" s="11" t="s">
        <v>50</v>
      </c>
      <c r="D20" s="27" t="s">
        <v>4</v>
      </c>
      <c r="E20" s="28" t="s">
        <v>3</v>
      </c>
      <c r="F20" s="32">
        <v>44</v>
      </c>
      <c r="G20" s="32">
        <v>17251128</v>
      </c>
      <c r="H20" s="34" t="s">
        <v>611</v>
      </c>
      <c r="I20" s="32" t="s">
        <v>338</v>
      </c>
      <c r="J20" s="32">
        <v>39452661</v>
      </c>
      <c r="K20" s="32"/>
      <c r="L20" s="32" t="s">
        <v>338</v>
      </c>
      <c r="M20" s="32">
        <v>39452661</v>
      </c>
      <c r="N20" s="32" t="s">
        <v>338</v>
      </c>
      <c r="O20" s="32">
        <v>39452661</v>
      </c>
      <c r="P20" s="32" t="s">
        <v>338</v>
      </c>
      <c r="Q20" s="32">
        <v>39452661</v>
      </c>
      <c r="R20" s="32">
        <v>3866</v>
      </c>
      <c r="S20" s="32">
        <v>5776</v>
      </c>
      <c r="T20" s="32">
        <v>457</v>
      </c>
      <c r="U20" s="32" t="s">
        <v>339</v>
      </c>
      <c r="V20" s="32" t="s">
        <v>297</v>
      </c>
      <c r="W20" s="29">
        <v>42190</v>
      </c>
      <c r="X20" s="30" t="s">
        <v>337</v>
      </c>
      <c r="Y20" s="32">
        <v>2015</v>
      </c>
      <c r="Z20" s="31">
        <v>42221</v>
      </c>
      <c r="AA20" s="31">
        <v>44413</v>
      </c>
      <c r="AB20" s="32">
        <v>100600</v>
      </c>
      <c r="AC20" s="32">
        <v>4</v>
      </c>
    </row>
    <row r="21" spans="1:29" ht="30" customHeight="1" x14ac:dyDescent="0.2">
      <c r="A21" s="4">
        <v>17</v>
      </c>
      <c r="B21" s="10" t="s">
        <v>51</v>
      </c>
      <c r="C21" s="11" t="s">
        <v>52</v>
      </c>
      <c r="D21" s="27" t="s">
        <v>4</v>
      </c>
      <c r="E21" s="28" t="s">
        <v>3</v>
      </c>
      <c r="F21" s="32">
        <v>65</v>
      </c>
      <c r="G21" s="32">
        <v>33356774</v>
      </c>
      <c r="H21" s="33" t="s">
        <v>192</v>
      </c>
      <c r="I21" s="32" t="s">
        <v>193</v>
      </c>
      <c r="J21" s="32">
        <v>66686169</v>
      </c>
      <c r="K21" s="32"/>
      <c r="L21" s="32" t="s">
        <v>194</v>
      </c>
      <c r="M21" s="32">
        <v>39333109</v>
      </c>
      <c r="N21" s="32" t="s">
        <v>193</v>
      </c>
      <c r="O21" s="32">
        <v>66686169</v>
      </c>
      <c r="P21" s="32" t="s">
        <v>193</v>
      </c>
      <c r="Q21" s="32">
        <v>66686169</v>
      </c>
      <c r="R21" s="32">
        <v>930</v>
      </c>
      <c r="S21" s="32">
        <v>5424</v>
      </c>
      <c r="T21" s="32">
        <v>254</v>
      </c>
      <c r="U21" s="32" t="s">
        <v>195</v>
      </c>
      <c r="V21" s="32" t="s">
        <v>295</v>
      </c>
      <c r="W21" s="29" t="s">
        <v>533</v>
      </c>
      <c r="X21" s="30" t="s">
        <v>534</v>
      </c>
      <c r="Y21" s="32">
        <v>2016</v>
      </c>
      <c r="Z21" s="32" t="s">
        <v>535</v>
      </c>
      <c r="AA21" s="32" t="s">
        <v>536</v>
      </c>
      <c r="AB21" s="32" t="s">
        <v>191</v>
      </c>
      <c r="AC21" s="32">
        <v>5</v>
      </c>
    </row>
    <row r="22" spans="1:29" ht="30" customHeight="1" x14ac:dyDescent="0.2">
      <c r="A22" s="4">
        <v>18</v>
      </c>
      <c r="B22" s="10" t="s">
        <v>53</v>
      </c>
      <c r="C22" s="11" t="s">
        <v>54</v>
      </c>
      <c r="D22" s="27" t="s">
        <v>4</v>
      </c>
      <c r="E22" s="28" t="s">
        <v>3</v>
      </c>
      <c r="F22" s="32">
        <v>150</v>
      </c>
      <c r="G22" s="32">
        <v>32001177</v>
      </c>
      <c r="H22" s="33" t="s">
        <v>197</v>
      </c>
      <c r="I22" s="32" t="s">
        <v>198</v>
      </c>
      <c r="J22" s="32">
        <v>39630338</v>
      </c>
      <c r="K22" s="32"/>
      <c r="L22" s="32" t="s">
        <v>199</v>
      </c>
      <c r="M22" s="32">
        <v>32001177</v>
      </c>
      <c r="N22" s="32" t="s">
        <v>199</v>
      </c>
      <c r="O22" s="32">
        <v>32001177</v>
      </c>
      <c r="P22" s="32" t="s">
        <v>200</v>
      </c>
      <c r="Q22" s="32">
        <v>380771199</v>
      </c>
      <c r="R22" s="32">
        <v>1889</v>
      </c>
      <c r="S22" s="32">
        <v>1445</v>
      </c>
      <c r="T22" s="32">
        <v>514</v>
      </c>
      <c r="U22" s="32" t="s">
        <v>201</v>
      </c>
      <c r="V22" s="32" t="s">
        <v>297</v>
      </c>
      <c r="W22" s="29">
        <v>42646</v>
      </c>
      <c r="X22" s="30" t="s">
        <v>196</v>
      </c>
      <c r="Y22" s="32">
        <v>2016</v>
      </c>
      <c r="Z22" s="31">
        <v>44138</v>
      </c>
      <c r="AA22" s="31">
        <v>44868</v>
      </c>
      <c r="AB22" s="32" t="s">
        <v>340</v>
      </c>
      <c r="AC22" s="32">
        <v>7</v>
      </c>
    </row>
    <row r="23" spans="1:29" ht="30" customHeight="1" x14ac:dyDescent="0.2">
      <c r="A23" s="4">
        <v>19</v>
      </c>
      <c r="B23" s="10" t="s">
        <v>341</v>
      </c>
      <c r="C23" s="11" t="s">
        <v>55</v>
      </c>
      <c r="D23" s="27" t="s">
        <v>4</v>
      </c>
      <c r="E23" s="28" t="s">
        <v>3</v>
      </c>
      <c r="F23" s="32">
        <v>100</v>
      </c>
      <c r="G23" s="32">
        <v>33606612</v>
      </c>
      <c r="H23" s="32" t="s">
        <v>202</v>
      </c>
      <c r="I23" s="32" t="s">
        <v>203</v>
      </c>
      <c r="J23" s="32">
        <v>36456453</v>
      </c>
      <c r="K23" s="32"/>
      <c r="L23" s="32" t="s">
        <v>680</v>
      </c>
      <c r="M23" s="32">
        <v>37122144</v>
      </c>
      <c r="N23" s="32" t="s">
        <v>204</v>
      </c>
      <c r="O23" s="32">
        <v>38853308</v>
      </c>
      <c r="P23" s="32" t="s">
        <v>204</v>
      </c>
      <c r="Q23" s="32">
        <v>38853308</v>
      </c>
      <c r="R23" s="32">
        <v>671</v>
      </c>
      <c r="S23" s="32">
        <v>3313</v>
      </c>
      <c r="T23" s="32">
        <v>333</v>
      </c>
      <c r="U23" s="32" t="s">
        <v>165</v>
      </c>
      <c r="V23" s="32" t="s">
        <v>296</v>
      </c>
      <c r="W23" s="29">
        <v>42378</v>
      </c>
      <c r="X23" s="30" t="s">
        <v>537</v>
      </c>
      <c r="Y23" s="32">
        <v>2017</v>
      </c>
      <c r="Z23" s="31">
        <v>44601</v>
      </c>
      <c r="AA23" s="31">
        <v>45331</v>
      </c>
      <c r="AB23" s="32" t="s">
        <v>342</v>
      </c>
      <c r="AC23" s="32">
        <v>6</v>
      </c>
    </row>
    <row r="24" spans="1:29" ht="30" customHeight="1" x14ac:dyDescent="0.2">
      <c r="A24" s="4">
        <v>20</v>
      </c>
      <c r="B24" s="10" t="s">
        <v>56</v>
      </c>
      <c r="C24" s="11" t="s">
        <v>57</v>
      </c>
      <c r="D24" s="27" t="s">
        <v>4</v>
      </c>
      <c r="E24" s="28" t="s">
        <v>6</v>
      </c>
      <c r="F24" s="27">
        <v>35</v>
      </c>
      <c r="G24" s="27" t="s">
        <v>443</v>
      </c>
      <c r="H24" s="55" t="s">
        <v>633</v>
      </c>
      <c r="I24" s="27" t="s">
        <v>205</v>
      </c>
      <c r="J24" s="32">
        <v>37195511</v>
      </c>
      <c r="K24" s="32"/>
      <c r="L24" s="32" t="s">
        <v>206</v>
      </c>
      <c r="M24" s="32" t="s">
        <v>207</v>
      </c>
      <c r="N24" s="32" t="s">
        <v>208</v>
      </c>
      <c r="O24" s="32">
        <v>33558911</v>
      </c>
      <c r="P24" s="32" t="s">
        <v>208</v>
      </c>
      <c r="Q24" s="32">
        <v>33558911</v>
      </c>
      <c r="R24" s="32">
        <v>456</v>
      </c>
      <c r="S24" s="32">
        <v>1206</v>
      </c>
      <c r="T24" s="32">
        <v>112</v>
      </c>
      <c r="U24" s="32" t="s">
        <v>209</v>
      </c>
      <c r="V24" s="32" t="s">
        <v>295</v>
      </c>
      <c r="W24" s="29" t="s">
        <v>538</v>
      </c>
      <c r="X24" s="30" t="s">
        <v>539</v>
      </c>
      <c r="Y24" s="32">
        <v>2016</v>
      </c>
      <c r="Z24" s="32" t="s">
        <v>540</v>
      </c>
      <c r="AA24" s="32" t="s">
        <v>541</v>
      </c>
      <c r="AB24" s="32" t="s">
        <v>343</v>
      </c>
      <c r="AC24" s="32">
        <v>7</v>
      </c>
    </row>
    <row r="25" spans="1:29" ht="38.25" customHeight="1" x14ac:dyDescent="0.2">
      <c r="A25" s="4">
        <v>21</v>
      </c>
      <c r="B25" s="10" t="s">
        <v>344</v>
      </c>
      <c r="C25" s="11" t="s">
        <v>58</v>
      </c>
      <c r="D25" s="27" t="s">
        <v>4</v>
      </c>
      <c r="E25" s="28" t="s">
        <v>2</v>
      </c>
      <c r="F25" s="32">
        <v>85</v>
      </c>
      <c r="G25" s="27" t="s">
        <v>447</v>
      </c>
      <c r="H25" s="33" t="s">
        <v>281</v>
      </c>
      <c r="I25" s="32" t="s">
        <v>282</v>
      </c>
      <c r="J25" s="32">
        <v>39977187</v>
      </c>
      <c r="K25" s="32"/>
      <c r="L25" s="32" t="s">
        <v>283</v>
      </c>
      <c r="M25" s="32">
        <v>38384044</v>
      </c>
      <c r="N25" s="32" t="s">
        <v>284</v>
      </c>
      <c r="O25" s="32">
        <v>38384044</v>
      </c>
      <c r="P25" s="32" t="s">
        <v>285</v>
      </c>
      <c r="Q25" s="32" t="s">
        <v>286</v>
      </c>
      <c r="R25" s="32">
        <v>950</v>
      </c>
      <c r="S25" s="32">
        <v>4323</v>
      </c>
      <c r="T25" s="32">
        <v>243</v>
      </c>
      <c r="U25" s="32" t="s">
        <v>287</v>
      </c>
      <c r="V25" s="32" t="s">
        <v>295</v>
      </c>
      <c r="W25" s="29">
        <v>44906</v>
      </c>
      <c r="X25" s="30" t="s">
        <v>542</v>
      </c>
      <c r="Y25" s="32">
        <v>2018</v>
      </c>
      <c r="Z25" s="32" t="s">
        <v>543</v>
      </c>
      <c r="AA25" s="32" t="s">
        <v>544</v>
      </c>
      <c r="AB25" s="32" t="s">
        <v>345</v>
      </c>
      <c r="AC25" s="32">
        <v>5</v>
      </c>
    </row>
    <row r="26" spans="1:29" ht="36" customHeight="1" x14ac:dyDescent="0.2">
      <c r="A26" s="4">
        <v>22</v>
      </c>
      <c r="B26" s="10" t="s">
        <v>59</v>
      </c>
      <c r="C26" s="11" t="s">
        <v>60</v>
      </c>
      <c r="D26" s="27" t="s">
        <v>4</v>
      </c>
      <c r="E26" s="28" t="s">
        <v>3</v>
      </c>
      <c r="F26" s="32">
        <v>87</v>
      </c>
      <c r="G26" s="32">
        <v>35567395</v>
      </c>
      <c r="H26" s="32" t="s">
        <v>347</v>
      </c>
      <c r="I26" s="32" t="s">
        <v>348</v>
      </c>
      <c r="J26" s="32">
        <v>35567395</v>
      </c>
      <c r="K26" s="32"/>
      <c r="L26" s="32" t="s">
        <v>348</v>
      </c>
      <c r="M26" s="32">
        <v>35567395</v>
      </c>
      <c r="N26" s="32" t="s">
        <v>348</v>
      </c>
      <c r="O26" s="32">
        <v>35567395</v>
      </c>
      <c r="P26" s="32" t="s">
        <v>348</v>
      </c>
      <c r="Q26" s="32">
        <v>35567395</v>
      </c>
      <c r="R26" s="32">
        <v>1075</v>
      </c>
      <c r="S26" s="32">
        <v>4029</v>
      </c>
      <c r="T26" s="32">
        <v>740</v>
      </c>
      <c r="U26" s="32" t="s">
        <v>324</v>
      </c>
      <c r="V26" s="32" t="s">
        <v>297</v>
      </c>
      <c r="W26" s="29">
        <v>43070</v>
      </c>
      <c r="X26" s="30" t="s">
        <v>545</v>
      </c>
      <c r="Y26" s="32">
        <v>2017</v>
      </c>
      <c r="Z26" s="31" t="s">
        <v>546</v>
      </c>
      <c r="AA26" s="32" t="s">
        <v>547</v>
      </c>
      <c r="AB26" s="32" t="s">
        <v>346</v>
      </c>
      <c r="AC26" s="32">
        <v>7</v>
      </c>
    </row>
    <row r="27" spans="1:29" ht="30" customHeight="1" x14ac:dyDescent="0.2">
      <c r="A27" s="4">
        <v>23</v>
      </c>
      <c r="B27" s="10" t="s">
        <v>61</v>
      </c>
      <c r="C27" s="11" t="s">
        <v>62</v>
      </c>
      <c r="D27" s="27" t="s">
        <v>4</v>
      </c>
      <c r="E27" s="28" t="s">
        <v>2</v>
      </c>
      <c r="F27" s="32">
        <v>60</v>
      </c>
      <c r="G27" s="32">
        <v>39380260</v>
      </c>
      <c r="H27" s="33" t="s">
        <v>211</v>
      </c>
      <c r="I27" s="32" t="s">
        <v>212</v>
      </c>
      <c r="J27" s="32">
        <v>39839862</v>
      </c>
      <c r="K27" s="32"/>
      <c r="L27" s="32" t="s">
        <v>212</v>
      </c>
      <c r="M27" s="32">
        <v>39839862</v>
      </c>
      <c r="N27" s="32" t="s">
        <v>212</v>
      </c>
      <c r="O27" s="32">
        <v>39839862</v>
      </c>
      <c r="P27" s="32" t="s">
        <v>213</v>
      </c>
      <c r="Q27" s="32">
        <v>39380260</v>
      </c>
      <c r="R27" s="32">
        <v>1111</v>
      </c>
      <c r="S27" s="32">
        <v>5223</v>
      </c>
      <c r="T27" s="32">
        <v>752</v>
      </c>
      <c r="U27" s="32" t="s">
        <v>214</v>
      </c>
      <c r="V27" s="32" t="s">
        <v>297</v>
      </c>
      <c r="W27" s="29">
        <v>43990</v>
      </c>
      <c r="X27" s="30" t="s">
        <v>210</v>
      </c>
      <c r="Y27" s="32">
        <v>2019</v>
      </c>
      <c r="Z27" s="31">
        <v>44720</v>
      </c>
      <c r="AA27" s="31">
        <v>45451</v>
      </c>
      <c r="AB27" s="32" t="s">
        <v>349</v>
      </c>
      <c r="AC27" s="32">
        <v>7</v>
      </c>
    </row>
    <row r="28" spans="1:29" ht="36" customHeight="1" x14ac:dyDescent="0.2">
      <c r="A28" s="4">
        <v>24</v>
      </c>
      <c r="B28" s="10" t="s">
        <v>63</v>
      </c>
      <c r="C28" s="11" t="s">
        <v>64</v>
      </c>
      <c r="D28" s="27" t="s">
        <v>4</v>
      </c>
      <c r="E28" s="28" t="s">
        <v>3</v>
      </c>
      <c r="F28" s="32">
        <v>60</v>
      </c>
      <c r="G28" s="32">
        <v>39796160</v>
      </c>
      <c r="H28" s="32" t="s">
        <v>352</v>
      </c>
      <c r="I28" s="27" t="s">
        <v>694</v>
      </c>
      <c r="J28" s="32" t="s">
        <v>708</v>
      </c>
      <c r="K28" s="32"/>
      <c r="L28" s="32" t="s">
        <v>714</v>
      </c>
      <c r="M28" s="32">
        <v>66372259</v>
      </c>
      <c r="N28" s="32" t="s">
        <v>685</v>
      </c>
      <c r="O28" s="32">
        <v>33335887</v>
      </c>
      <c r="P28" s="32"/>
      <c r="Q28" s="32"/>
      <c r="R28" s="32">
        <v>2878</v>
      </c>
      <c r="S28" s="32">
        <v>4580</v>
      </c>
      <c r="T28" s="32">
        <v>745</v>
      </c>
      <c r="U28" s="32" t="s">
        <v>185</v>
      </c>
      <c r="V28" s="32" t="s">
        <v>296</v>
      </c>
      <c r="W28" s="29">
        <v>42925</v>
      </c>
      <c r="X28" s="30" t="s">
        <v>350</v>
      </c>
      <c r="Y28" s="32">
        <v>2017</v>
      </c>
      <c r="Z28" s="31">
        <v>44386</v>
      </c>
      <c r="AA28" s="31">
        <v>45116</v>
      </c>
      <c r="AB28" s="32" t="s">
        <v>351</v>
      </c>
      <c r="AC28" s="32">
        <v>7</v>
      </c>
    </row>
    <row r="29" spans="1:29" ht="30" customHeight="1" x14ac:dyDescent="0.2">
      <c r="A29" s="4">
        <v>25</v>
      </c>
      <c r="B29" s="10" t="s">
        <v>65</v>
      </c>
      <c r="C29" s="11" t="s">
        <v>66</v>
      </c>
      <c r="D29" s="27" t="s">
        <v>4</v>
      </c>
      <c r="E29" s="28" t="s">
        <v>2</v>
      </c>
      <c r="F29" s="32">
        <v>57</v>
      </c>
      <c r="G29" s="32">
        <v>39993523</v>
      </c>
      <c r="H29" s="32" t="s">
        <v>216</v>
      </c>
      <c r="I29" s="32" t="s">
        <v>217</v>
      </c>
      <c r="J29" s="32">
        <v>39993523</v>
      </c>
      <c r="K29" s="32"/>
      <c r="L29" s="32" t="s">
        <v>218</v>
      </c>
      <c r="M29" s="32">
        <v>33753553</v>
      </c>
      <c r="N29" s="32" t="s">
        <v>218</v>
      </c>
      <c r="O29" s="32">
        <v>33753553</v>
      </c>
      <c r="P29" s="32" t="s">
        <v>219</v>
      </c>
      <c r="Q29" s="32">
        <v>33753553</v>
      </c>
      <c r="R29" s="32">
        <v>3793</v>
      </c>
      <c r="S29" s="32">
        <v>915</v>
      </c>
      <c r="T29" s="32">
        <v>809</v>
      </c>
      <c r="U29" s="32" t="s">
        <v>220</v>
      </c>
      <c r="V29" s="32" t="s">
        <v>296</v>
      </c>
      <c r="W29" s="29">
        <v>42777</v>
      </c>
      <c r="X29" s="30" t="s">
        <v>215</v>
      </c>
      <c r="Y29" s="32">
        <v>2018</v>
      </c>
      <c r="Z29" s="31">
        <v>44266</v>
      </c>
      <c r="AA29" s="31">
        <v>44996</v>
      </c>
      <c r="AB29" s="32" t="s">
        <v>353</v>
      </c>
      <c r="AC29" s="32">
        <v>7</v>
      </c>
    </row>
    <row r="30" spans="1:29" ht="30" customHeight="1" x14ac:dyDescent="0.2">
      <c r="A30" s="4">
        <v>26</v>
      </c>
      <c r="B30" s="10" t="s">
        <v>67</v>
      </c>
      <c r="C30" s="11" t="s">
        <v>68</v>
      </c>
      <c r="D30" s="27" t="s">
        <v>4</v>
      </c>
      <c r="E30" s="28" t="s">
        <v>2</v>
      </c>
      <c r="F30" s="32">
        <v>160</v>
      </c>
      <c r="G30" s="27">
        <v>36554000</v>
      </c>
      <c r="H30" s="33" t="s">
        <v>227</v>
      </c>
      <c r="I30" s="27" t="s">
        <v>229</v>
      </c>
      <c r="J30" s="27" t="s">
        <v>356</v>
      </c>
      <c r="K30" s="27"/>
      <c r="L30" s="32" t="s">
        <v>230</v>
      </c>
      <c r="M30" s="32">
        <v>36447000</v>
      </c>
      <c r="N30" s="32" t="s">
        <v>230</v>
      </c>
      <c r="O30" s="32">
        <v>36447000</v>
      </c>
      <c r="P30" s="32" t="s">
        <v>231</v>
      </c>
      <c r="Q30" s="32">
        <v>39035519</v>
      </c>
      <c r="R30" s="32">
        <v>1110</v>
      </c>
      <c r="S30" s="32">
        <v>2934</v>
      </c>
      <c r="T30" s="32">
        <v>529</v>
      </c>
      <c r="U30" s="32" t="s">
        <v>228</v>
      </c>
      <c r="V30" s="32" t="s">
        <v>297</v>
      </c>
      <c r="W30" s="29">
        <v>43048</v>
      </c>
      <c r="X30" s="30" t="s">
        <v>226</v>
      </c>
      <c r="Y30" s="27">
        <v>2017</v>
      </c>
      <c r="Z30" s="38">
        <v>44480</v>
      </c>
      <c r="AA30" s="31">
        <v>45210</v>
      </c>
      <c r="AB30" s="32" t="s">
        <v>355</v>
      </c>
      <c r="AC30" s="32">
        <v>10</v>
      </c>
    </row>
    <row r="31" spans="1:29" ht="30" customHeight="1" x14ac:dyDescent="0.2">
      <c r="A31" s="4">
        <v>27</v>
      </c>
      <c r="B31" s="10" t="s">
        <v>589</v>
      </c>
      <c r="C31" s="11" t="s">
        <v>357</v>
      </c>
      <c r="D31" s="27" t="s">
        <v>4</v>
      </c>
      <c r="E31" s="28" t="s">
        <v>2</v>
      </c>
      <c r="F31" s="32">
        <v>53</v>
      </c>
      <c r="G31" s="27" t="s">
        <v>359</v>
      </c>
      <c r="H31" s="33" t="s">
        <v>233</v>
      </c>
      <c r="I31" s="27" t="s">
        <v>590</v>
      </c>
      <c r="J31" s="32" t="s">
        <v>234</v>
      </c>
      <c r="K31" s="32"/>
      <c r="L31" s="32" t="s">
        <v>235</v>
      </c>
      <c r="M31" s="32">
        <v>33110118</v>
      </c>
      <c r="N31" s="32" t="s">
        <v>236</v>
      </c>
      <c r="O31" s="32">
        <v>38001811</v>
      </c>
      <c r="P31" s="32" t="s">
        <v>236</v>
      </c>
      <c r="Q31" s="32" t="s">
        <v>237</v>
      </c>
      <c r="R31" s="32">
        <v>349</v>
      </c>
      <c r="S31" s="32">
        <v>2911</v>
      </c>
      <c r="T31" s="32">
        <v>529</v>
      </c>
      <c r="U31" s="32" t="s">
        <v>238</v>
      </c>
      <c r="V31" s="32" t="s">
        <v>297</v>
      </c>
      <c r="W31" s="29">
        <v>43314</v>
      </c>
      <c r="X31" s="30" t="s">
        <v>232</v>
      </c>
      <c r="Y31" s="32">
        <v>2017</v>
      </c>
      <c r="Z31" s="31">
        <v>44806</v>
      </c>
      <c r="AA31" s="31">
        <v>45537</v>
      </c>
      <c r="AB31" s="32" t="s">
        <v>358</v>
      </c>
      <c r="AC31" s="32">
        <v>5</v>
      </c>
    </row>
    <row r="32" spans="1:29" ht="36" customHeight="1" x14ac:dyDescent="0.2">
      <c r="A32" s="4">
        <v>28</v>
      </c>
      <c r="B32" s="10" t="s">
        <v>612</v>
      </c>
      <c r="C32" s="11" t="s">
        <v>607</v>
      </c>
      <c r="D32" s="27" t="s">
        <v>4</v>
      </c>
      <c r="E32" s="28" t="s">
        <v>3</v>
      </c>
      <c r="F32" s="32">
        <v>115</v>
      </c>
      <c r="G32" s="32">
        <v>37113711</v>
      </c>
      <c r="H32" s="33" t="s">
        <v>240</v>
      </c>
      <c r="I32" s="32" t="s">
        <v>241</v>
      </c>
      <c r="J32" s="32">
        <v>33446202</v>
      </c>
      <c r="K32" s="32"/>
      <c r="L32" s="27" t="s">
        <v>242</v>
      </c>
      <c r="M32" s="32">
        <v>39847775</v>
      </c>
      <c r="N32" s="27" t="s">
        <v>242</v>
      </c>
      <c r="O32" s="32">
        <v>39847775</v>
      </c>
      <c r="P32" s="32" t="s">
        <v>243</v>
      </c>
      <c r="Q32" s="32">
        <v>39847775</v>
      </c>
      <c r="R32" s="32">
        <v>1224</v>
      </c>
      <c r="S32" s="32">
        <v>3729</v>
      </c>
      <c r="T32" s="32">
        <v>537</v>
      </c>
      <c r="U32" s="32" t="s">
        <v>247</v>
      </c>
      <c r="V32" s="32" t="s">
        <v>297</v>
      </c>
      <c r="W32" s="39">
        <v>43167</v>
      </c>
      <c r="X32" s="30" t="s">
        <v>239</v>
      </c>
      <c r="Y32" s="32">
        <v>2017</v>
      </c>
      <c r="Z32" s="31">
        <v>44629</v>
      </c>
      <c r="AA32" s="31">
        <v>45360</v>
      </c>
      <c r="AB32" s="32" t="s">
        <v>360</v>
      </c>
      <c r="AC32" s="32">
        <v>6</v>
      </c>
    </row>
    <row r="33" spans="1:29" ht="36" customHeight="1" x14ac:dyDescent="0.2">
      <c r="A33" s="4">
        <v>29</v>
      </c>
      <c r="B33" s="10" t="s">
        <v>667</v>
      </c>
      <c r="C33" s="11" t="s">
        <v>706</v>
      </c>
      <c r="D33" s="27" t="s">
        <v>4</v>
      </c>
      <c r="E33" s="28" t="s">
        <v>2</v>
      </c>
      <c r="F33" s="32">
        <v>90</v>
      </c>
      <c r="G33" s="32">
        <v>77103330</v>
      </c>
      <c r="H33" s="33" t="s">
        <v>244</v>
      </c>
      <c r="I33" s="32" t="s">
        <v>668</v>
      </c>
      <c r="J33" s="32">
        <v>66614448</v>
      </c>
      <c r="K33" s="32"/>
      <c r="L33" s="32" t="s">
        <v>715</v>
      </c>
      <c r="M33" s="32">
        <v>33977599</v>
      </c>
      <c r="N33" s="32" t="s">
        <v>245</v>
      </c>
      <c r="O33" s="32">
        <v>66614448</v>
      </c>
      <c r="P33" s="32" t="s">
        <v>246</v>
      </c>
      <c r="Q33" s="32">
        <v>66614448</v>
      </c>
      <c r="R33" s="32">
        <v>2139</v>
      </c>
      <c r="S33" s="32">
        <v>2958</v>
      </c>
      <c r="T33" s="32">
        <v>729</v>
      </c>
      <c r="U33" s="32" t="s">
        <v>248</v>
      </c>
      <c r="V33" s="32" t="s">
        <v>296</v>
      </c>
      <c r="W33" s="39">
        <v>43181</v>
      </c>
      <c r="X33" s="30" t="s">
        <v>551</v>
      </c>
      <c r="Y33" s="32">
        <v>2018</v>
      </c>
      <c r="Z33" s="31">
        <v>45008</v>
      </c>
      <c r="AA33" s="31">
        <v>45739</v>
      </c>
      <c r="AB33" s="32" t="s">
        <v>595</v>
      </c>
      <c r="AC33" s="32">
        <v>7</v>
      </c>
    </row>
    <row r="34" spans="1:29" ht="30" customHeight="1" x14ac:dyDescent="0.2">
      <c r="A34" s="4">
        <v>30</v>
      </c>
      <c r="B34" s="10" t="s">
        <v>69</v>
      </c>
      <c r="C34" s="11" t="s">
        <v>70</v>
      </c>
      <c r="D34" s="27" t="s">
        <v>4</v>
      </c>
      <c r="E34" s="28" t="s">
        <v>3</v>
      </c>
      <c r="F34" s="32">
        <v>100</v>
      </c>
      <c r="G34" s="32">
        <v>17794708</v>
      </c>
      <c r="H34" s="32" t="s">
        <v>363</v>
      </c>
      <c r="I34" s="32" t="s">
        <v>364</v>
      </c>
      <c r="J34" s="32">
        <v>38899340</v>
      </c>
      <c r="K34" s="32"/>
      <c r="L34" s="32" t="s">
        <v>364</v>
      </c>
      <c r="M34" s="32">
        <v>38899340</v>
      </c>
      <c r="N34" s="32" t="s">
        <v>365</v>
      </c>
      <c r="O34" s="32" t="s">
        <v>366</v>
      </c>
      <c r="P34" s="32" t="s">
        <v>367</v>
      </c>
      <c r="Q34" s="32" t="s">
        <v>366</v>
      </c>
      <c r="R34" s="32">
        <v>811</v>
      </c>
      <c r="S34" s="32">
        <v>3315</v>
      </c>
      <c r="T34" s="32">
        <v>333</v>
      </c>
      <c r="U34" s="32" t="s">
        <v>368</v>
      </c>
      <c r="V34" s="32" t="s">
        <v>296</v>
      </c>
      <c r="W34" s="39">
        <v>43223</v>
      </c>
      <c r="X34" s="30" t="s">
        <v>361</v>
      </c>
      <c r="Y34" s="32">
        <v>2018</v>
      </c>
      <c r="Z34" s="31">
        <v>44685</v>
      </c>
      <c r="AA34" s="31">
        <v>45416</v>
      </c>
      <c r="AB34" s="32" t="s">
        <v>362</v>
      </c>
      <c r="AC34" s="32">
        <v>5</v>
      </c>
    </row>
    <row r="35" spans="1:29" ht="30" customHeight="1" x14ac:dyDescent="0.2">
      <c r="A35" s="4">
        <v>31</v>
      </c>
      <c r="B35" s="10" t="s">
        <v>71</v>
      </c>
      <c r="C35" s="11" t="s">
        <v>72</v>
      </c>
      <c r="D35" s="27" t="s">
        <v>4</v>
      </c>
      <c r="E35" s="28" t="s">
        <v>2</v>
      </c>
      <c r="F35" s="32">
        <v>200</v>
      </c>
      <c r="G35" s="32">
        <v>17671444</v>
      </c>
      <c r="H35" s="33" t="s">
        <v>404</v>
      </c>
      <c r="I35" s="32" t="s">
        <v>451</v>
      </c>
      <c r="J35" s="32">
        <v>39332700</v>
      </c>
      <c r="K35" s="32"/>
      <c r="L35" s="32" t="s">
        <v>444</v>
      </c>
      <c r="M35" s="32">
        <v>36550224</v>
      </c>
      <c r="N35" s="32" t="s">
        <v>444</v>
      </c>
      <c r="O35" s="32">
        <v>36550224</v>
      </c>
      <c r="P35" s="32"/>
      <c r="Q35" s="32"/>
      <c r="R35" s="32">
        <v>2061</v>
      </c>
      <c r="S35" s="32">
        <v>2830</v>
      </c>
      <c r="T35" s="32">
        <v>228</v>
      </c>
      <c r="U35" s="32" t="s">
        <v>465</v>
      </c>
      <c r="V35" s="32" t="s">
        <v>295</v>
      </c>
      <c r="W35" s="39">
        <v>43468</v>
      </c>
      <c r="X35" s="30" t="s">
        <v>552</v>
      </c>
      <c r="Y35" s="32">
        <v>2019</v>
      </c>
      <c r="Z35" s="31">
        <v>44930</v>
      </c>
      <c r="AA35" s="31">
        <v>45661</v>
      </c>
      <c r="AB35" s="32" t="s">
        <v>596</v>
      </c>
      <c r="AC35" s="32"/>
    </row>
    <row r="36" spans="1:29" ht="30" customHeight="1" x14ac:dyDescent="0.2">
      <c r="A36" s="4">
        <v>32</v>
      </c>
      <c r="B36" s="10" t="s">
        <v>369</v>
      </c>
      <c r="C36" s="11" t="s">
        <v>73</v>
      </c>
      <c r="D36" s="27" t="s">
        <v>4</v>
      </c>
      <c r="E36" s="28" t="s">
        <v>3</v>
      </c>
      <c r="F36" s="32">
        <v>55</v>
      </c>
      <c r="G36" s="32">
        <v>17694242</v>
      </c>
      <c r="H36" s="32" t="s">
        <v>371</v>
      </c>
      <c r="I36" s="32" t="s">
        <v>372</v>
      </c>
      <c r="J36" s="32">
        <v>35004715</v>
      </c>
      <c r="K36" s="32"/>
      <c r="L36" s="32" t="s">
        <v>372</v>
      </c>
      <c r="M36" s="32">
        <v>35004715</v>
      </c>
      <c r="N36" s="32" t="s">
        <v>372</v>
      </c>
      <c r="O36" s="32">
        <v>35004715</v>
      </c>
      <c r="P36" s="32" t="s">
        <v>372</v>
      </c>
      <c r="Q36" s="32">
        <v>35004715</v>
      </c>
      <c r="R36" s="32">
        <v>21</v>
      </c>
      <c r="S36" s="32">
        <v>57</v>
      </c>
      <c r="T36" s="32">
        <v>477</v>
      </c>
      <c r="U36" s="32" t="s">
        <v>373</v>
      </c>
      <c r="V36" s="32" t="s">
        <v>297</v>
      </c>
      <c r="W36" s="39">
        <v>43517</v>
      </c>
      <c r="X36" s="30" t="s">
        <v>553</v>
      </c>
      <c r="Y36" s="32">
        <v>2019</v>
      </c>
      <c r="Z36" s="31">
        <v>44979</v>
      </c>
      <c r="AA36" s="31">
        <v>45710</v>
      </c>
      <c r="AB36" s="32" t="s">
        <v>370</v>
      </c>
      <c r="AC36" s="32">
        <v>5</v>
      </c>
    </row>
    <row r="37" spans="1:29" ht="30" customHeight="1" x14ac:dyDescent="0.2">
      <c r="A37" s="4">
        <v>33</v>
      </c>
      <c r="B37" s="10" t="s">
        <v>74</v>
      </c>
      <c r="C37" s="11" t="s">
        <v>399</v>
      </c>
      <c r="D37" s="27" t="s">
        <v>4</v>
      </c>
      <c r="E37" s="28" t="s">
        <v>2</v>
      </c>
      <c r="F37" s="32">
        <v>53</v>
      </c>
      <c r="G37" s="27">
        <v>35457074</v>
      </c>
      <c r="H37" s="34" t="s">
        <v>657</v>
      </c>
      <c r="I37" s="32" t="s">
        <v>412</v>
      </c>
      <c r="J37" s="32">
        <v>33338983</v>
      </c>
      <c r="K37" s="32"/>
      <c r="L37" s="32" t="s">
        <v>413</v>
      </c>
      <c r="M37" s="32">
        <v>33335795</v>
      </c>
      <c r="N37" s="32" t="s">
        <v>413</v>
      </c>
      <c r="O37" s="32">
        <v>33335795</v>
      </c>
      <c r="P37" s="32" t="s">
        <v>414</v>
      </c>
      <c r="Q37" s="32">
        <v>33702029</v>
      </c>
      <c r="R37" s="32">
        <v>2801</v>
      </c>
      <c r="S37" s="32">
        <v>3369</v>
      </c>
      <c r="T37" s="32">
        <v>1033</v>
      </c>
      <c r="U37" s="32" t="s">
        <v>415</v>
      </c>
      <c r="V37" s="32" t="s">
        <v>297</v>
      </c>
      <c r="W37" s="39">
        <v>43594</v>
      </c>
      <c r="X37" s="30" t="s">
        <v>554</v>
      </c>
      <c r="Y37" s="32">
        <v>2019</v>
      </c>
      <c r="Z37" s="31">
        <v>44326</v>
      </c>
      <c r="AA37" s="31">
        <v>45056</v>
      </c>
      <c r="AB37" s="32" t="s">
        <v>411</v>
      </c>
      <c r="AC37" s="32">
        <v>6</v>
      </c>
    </row>
    <row r="38" spans="1:29" ht="30" customHeight="1" x14ac:dyDescent="0.2">
      <c r="A38" s="4">
        <v>34</v>
      </c>
      <c r="B38" s="10" t="s">
        <v>374</v>
      </c>
      <c r="C38" s="11" t="s">
        <v>75</v>
      </c>
      <c r="D38" s="27" t="s">
        <v>4</v>
      </c>
      <c r="E38" s="28" t="s">
        <v>3</v>
      </c>
      <c r="F38" s="32">
        <v>90</v>
      </c>
      <c r="G38" s="27" t="s">
        <v>448</v>
      </c>
      <c r="H38" s="33" t="s">
        <v>249</v>
      </c>
      <c r="I38" s="32" t="s">
        <v>250</v>
      </c>
      <c r="J38" s="32">
        <v>33003380</v>
      </c>
      <c r="K38" s="32"/>
      <c r="L38" s="32" t="s">
        <v>251</v>
      </c>
      <c r="M38" s="32">
        <v>33482211</v>
      </c>
      <c r="N38" s="32" t="s">
        <v>251</v>
      </c>
      <c r="O38" s="32">
        <v>33482211</v>
      </c>
      <c r="P38" s="32" t="s">
        <v>252</v>
      </c>
      <c r="Q38" s="32">
        <v>39900213</v>
      </c>
      <c r="R38" s="32">
        <v>666</v>
      </c>
      <c r="S38" s="32">
        <v>817</v>
      </c>
      <c r="T38" s="32">
        <v>708</v>
      </c>
      <c r="U38" s="32" t="s">
        <v>616</v>
      </c>
      <c r="V38" s="32" t="s">
        <v>297</v>
      </c>
      <c r="W38" s="39">
        <v>43741</v>
      </c>
      <c r="X38" s="30" t="s">
        <v>555</v>
      </c>
      <c r="Y38" s="32">
        <v>2018</v>
      </c>
      <c r="Z38" s="31">
        <v>44473</v>
      </c>
      <c r="AA38" s="31">
        <v>45203</v>
      </c>
      <c r="AB38" s="27" t="s">
        <v>597</v>
      </c>
      <c r="AC38" s="32">
        <v>9</v>
      </c>
    </row>
    <row r="39" spans="1:29" ht="30" customHeight="1" x14ac:dyDescent="0.2">
      <c r="A39" s="4">
        <v>35</v>
      </c>
      <c r="B39" s="10" t="s">
        <v>76</v>
      </c>
      <c r="C39" s="11" t="s">
        <v>77</v>
      </c>
      <c r="D39" s="27" t="s">
        <v>4</v>
      </c>
      <c r="E39" s="28" t="s">
        <v>3</v>
      </c>
      <c r="F39" s="32">
        <v>86</v>
      </c>
      <c r="G39" s="27" t="s">
        <v>591</v>
      </c>
      <c r="H39" s="33" t="s">
        <v>445</v>
      </c>
      <c r="I39" s="32" t="s">
        <v>317</v>
      </c>
      <c r="J39" s="32">
        <v>33277613</v>
      </c>
      <c r="K39" s="32"/>
      <c r="L39" s="32" t="s">
        <v>446</v>
      </c>
      <c r="M39" s="32">
        <v>33233503</v>
      </c>
      <c r="N39" s="32" t="s">
        <v>446</v>
      </c>
      <c r="O39" s="32">
        <v>33233503</v>
      </c>
      <c r="P39" s="32"/>
      <c r="Q39" s="32"/>
      <c r="R39" s="32">
        <v>1733</v>
      </c>
      <c r="S39" s="32">
        <v>752</v>
      </c>
      <c r="T39" s="32">
        <v>707</v>
      </c>
      <c r="U39" s="32" t="s">
        <v>393</v>
      </c>
      <c r="V39" s="32" t="s">
        <v>296</v>
      </c>
      <c r="W39" s="39">
        <v>43930</v>
      </c>
      <c r="X39" s="30" t="s">
        <v>556</v>
      </c>
      <c r="Y39" s="32">
        <v>2013</v>
      </c>
      <c r="Z39" s="31">
        <v>44661</v>
      </c>
      <c r="AA39" s="31">
        <v>45392</v>
      </c>
      <c r="AB39" s="32" t="s">
        <v>598</v>
      </c>
      <c r="AC39" s="32"/>
    </row>
    <row r="40" spans="1:29" ht="38.25" customHeight="1" x14ac:dyDescent="0.2">
      <c r="A40" s="4">
        <v>36</v>
      </c>
      <c r="B40" s="10" t="s">
        <v>78</v>
      </c>
      <c r="C40" s="11" t="s">
        <v>79</v>
      </c>
      <c r="D40" s="27" t="s">
        <v>4</v>
      </c>
      <c r="E40" s="28" t="s">
        <v>3</v>
      </c>
      <c r="F40" s="32">
        <v>80</v>
      </c>
      <c r="G40" s="32">
        <v>17675000</v>
      </c>
      <c r="H40" s="32" t="s">
        <v>376</v>
      </c>
      <c r="I40" s="32" t="s">
        <v>377</v>
      </c>
      <c r="J40" s="32">
        <v>33344366</v>
      </c>
      <c r="K40" s="32"/>
      <c r="L40" s="32" t="s">
        <v>377</v>
      </c>
      <c r="M40" s="32">
        <v>33344366</v>
      </c>
      <c r="N40" s="32" t="s">
        <v>377</v>
      </c>
      <c r="O40" s="32">
        <v>33344366</v>
      </c>
      <c r="P40" s="32" t="s">
        <v>378</v>
      </c>
      <c r="Q40" s="32">
        <v>33272252</v>
      </c>
      <c r="R40" s="32">
        <v>1163</v>
      </c>
      <c r="S40" s="32">
        <v>2629</v>
      </c>
      <c r="T40" s="32">
        <v>296</v>
      </c>
      <c r="U40" s="32" t="s">
        <v>379</v>
      </c>
      <c r="V40" s="32" t="s">
        <v>298</v>
      </c>
      <c r="W40" s="39">
        <v>43930</v>
      </c>
      <c r="X40" s="30" t="s">
        <v>557</v>
      </c>
      <c r="Y40" s="32">
        <v>2019</v>
      </c>
      <c r="Z40" s="31">
        <v>44661</v>
      </c>
      <c r="AA40" s="31">
        <v>45392</v>
      </c>
      <c r="AB40" s="32" t="s">
        <v>375</v>
      </c>
      <c r="AC40" s="32">
        <v>6</v>
      </c>
    </row>
    <row r="41" spans="1:29" ht="30" customHeight="1" x14ac:dyDescent="0.2">
      <c r="A41" s="4">
        <v>37</v>
      </c>
      <c r="B41" s="10" t="s">
        <v>80</v>
      </c>
      <c r="C41" s="11" t="s">
        <v>81</v>
      </c>
      <c r="D41" s="27" t="s">
        <v>4</v>
      </c>
      <c r="E41" s="28" t="s">
        <v>3</v>
      </c>
      <c r="F41" s="32">
        <v>60</v>
      </c>
      <c r="G41" s="32">
        <v>17135005</v>
      </c>
      <c r="H41" s="32" t="s">
        <v>254</v>
      </c>
      <c r="I41" s="32" t="s">
        <v>255</v>
      </c>
      <c r="J41" s="32">
        <v>39816661</v>
      </c>
      <c r="K41" s="32"/>
      <c r="L41" s="32" t="s">
        <v>651</v>
      </c>
      <c r="M41" s="32">
        <v>39339444</v>
      </c>
      <c r="N41" s="32" t="s">
        <v>256</v>
      </c>
      <c r="O41" s="32">
        <v>34451994</v>
      </c>
      <c r="P41" s="32" t="s">
        <v>257</v>
      </c>
      <c r="Q41" s="32">
        <v>34451994</v>
      </c>
      <c r="R41" s="32">
        <v>1505</v>
      </c>
      <c r="S41" s="32">
        <v>5432</v>
      </c>
      <c r="T41" s="32">
        <v>254</v>
      </c>
      <c r="U41" s="32" t="s">
        <v>195</v>
      </c>
      <c r="V41" s="32" t="s">
        <v>295</v>
      </c>
      <c r="W41" s="39">
        <v>43930</v>
      </c>
      <c r="X41" s="30" t="s">
        <v>558</v>
      </c>
      <c r="Y41" s="32">
        <v>2020</v>
      </c>
      <c r="Z41" s="31">
        <v>44661</v>
      </c>
      <c r="AA41" s="31">
        <v>45392</v>
      </c>
      <c r="AB41" s="32" t="s">
        <v>380</v>
      </c>
      <c r="AC41" s="32">
        <v>8</v>
      </c>
    </row>
    <row r="42" spans="1:29" ht="30" customHeight="1" x14ac:dyDescent="0.2">
      <c r="A42" s="4">
        <v>38</v>
      </c>
      <c r="B42" s="10" t="s">
        <v>82</v>
      </c>
      <c r="C42" s="11" t="s">
        <v>83</v>
      </c>
      <c r="D42" s="27" t="s">
        <v>4</v>
      </c>
      <c r="E42" s="28" t="s">
        <v>3</v>
      </c>
      <c r="F42" s="32">
        <v>68</v>
      </c>
      <c r="G42" s="32">
        <v>38465704</v>
      </c>
      <c r="H42" s="32" t="s">
        <v>382</v>
      </c>
      <c r="I42" s="32" t="s">
        <v>383</v>
      </c>
      <c r="J42" s="32">
        <v>38465704</v>
      </c>
      <c r="K42" s="32"/>
      <c r="L42" s="32" t="s">
        <v>383</v>
      </c>
      <c r="M42" s="32">
        <v>38465704</v>
      </c>
      <c r="N42" s="32" t="s">
        <v>383</v>
      </c>
      <c r="O42" s="32">
        <v>38465704</v>
      </c>
      <c r="P42" s="32" t="s">
        <v>383</v>
      </c>
      <c r="Q42" s="32">
        <v>38465704</v>
      </c>
      <c r="R42" s="32">
        <v>35</v>
      </c>
      <c r="S42" s="32">
        <v>24</v>
      </c>
      <c r="T42" s="32">
        <v>624</v>
      </c>
      <c r="U42" s="32" t="s">
        <v>384</v>
      </c>
      <c r="V42" s="32" t="s">
        <v>296</v>
      </c>
      <c r="W42" s="31">
        <v>44049</v>
      </c>
      <c r="X42" s="30" t="s">
        <v>559</v>
      </c>
      <c r="Y42" s="32">
        <v>2021</v>
      </c>
      <c r="Z42" s="31">
        <v>44780</v>
      </c>
      <c r="AA42" s="31">
        <v>45511</v>
      </c>
      <c r="AB42" s="32" t="s">
        <v>381</v>
      </c>
      <c r="AC42" s="32">
        <v>3</v>
      </c>
    </row>
    <row r="43" spans="1:29" ht="30" customHeight="1" x14ac:dyDescent="0.2">
      <c r="A43" s="4">
        <v>39</v>
      </c>
      <c r="B43" s="10" t="s">
        <v>84</v>
      </c>
      <c r="C43" s="11" t="s">
        <v>502</v>
      </c>
      <c r="D43" s="27" t="s">
        <v>4</v>
      </c>
      <c r="E43" s="28" t="s">
        <v>2</v>
      </c>
      <c r="F43" s="32">
        <v>65</v>
      </c>
      <c r="G43" s="27">
        <v>35940380</v>
      </c>
      <c r="H43" s="34" t="s">
        <v>406</v>
      </c>
      <c r="I43" s="27" t="s">
        <v>499</v>
      </c>
      <c r="J43" s="27">
        <v>34204217</v>
      </c>
      <c r="K43" s="27"/>
      <c r="L43" s="27" t="s">
        <v>452</v>
      </c>
      <c r="M43" s="32">
        <v>39336509</v>
      </c>
      <c r="N43" s="32" t="s">
        <v>499</v>
      </c>
      <c r="O43" s="32">
        <v>34204217</v>
      </c>
      <c r="P43" s="27" t="s">
        <v>452</v>
      </c>
      <c r="Q43" s="32">
        <v>39336509</v>
      </c>
      <c r="R43" s="32">
        <v>1822</v>
      </c>
      <c r="S43" s="32">
        <v>2428</v>
      </c>
      <c r="T43" s="32">
        <v>324</v>
      </c>
      <c r="U43" s="32" t="s">
        <v>501</v>
      </c>
      <c r="V43" s="32" t="s">
        <v>296</v>
      </c>
      <c r="W43" s="31">
        <v>44049</v>
      </c>
      <c r="X43" s="30" t="s">
        <v>560</v>
      </c>
      <c r="Y43" s="32">
        <v>2020</v>
      </c>
      <c r="Z43" s="31">
        <v>44780</v>
      </c>
      <c r="AA43" s="31">
        <v>45511</v>
      </c>
      <c r="AB43" s="32" t="s">
        <v>500</v>
      </c>
      <c r="AC43" s="32">
        <v>11</v>
      </c>
    </row>
    <row r="44" spans="1:29" ht="30" customHeight="1" x14ac:dyDescent="0.2">
      <c r="A44" s="4">
        <v>40</v>
      </c>
      <c r="B44" s="10" t="s">
        <v>85</v>
      </c>
      <c r="C44" s="11" t="s">
        <v>610</v>
      </c>
      <c r="D44" s="27" t="s">
        <v>4</v>
      </c>
      <c r="E44" s="28" t="s">
        <v>2</v>
      </c>
      <c r="F44" s="32">
        <v>70</v>
      </c>
      <c r="G44" s="32">
        <v>39800333</v>
      </c>
      <c r="H44" s="34" t="s">
        <v>636</v>
      </c>
      <c r="I44" s="32" t="s">
        <v>710</v>
      </c>
      <c r="J44" s="32">
        <v>39939929</v>
      </c>
      <c r="K44" s="32"/>
      <c r="L44" s="32" t="s">
        <v>387</v>
      </c>
      <c r="M44" s="32">
        <v>33372552</v>
      </c>
      <c r="N44" s="32" t="s">
        <v>386</v>
      </c>
      <c r="O44" s="32">
        <v>39939929</v>
      </c>
      <c r="P44" s="27" t="s">
        <v>388</v>
      </c>
      <c r="Q44" s="32">
        <v>39939929</v>
      </c>
      <c r="R44" s="32">
        <v>1338</v>
      </c>
      <c r="S44" s="32">
        <v>3027</v>
      </c>
      <c r="T44" s="32">
        <v>430</v>
      </c>
      <c r="U44" s="32" t="s">
        <v>389</v>
      </c>
      <c r="V44" s="32" t="s">
        <v>296</v>
      </c>
      <c r="W44" s="54">
        <v>44175</v>
      </c>
      <c r="X44" s="30" t="s">
        <v>561</v>
      </c>
      <c r="Y44" s="32">
        <v>2020</v>
      </c>
      <c r="Z44" s="31">
        <v>44176</v>
      </c>
      <c r="AA44" s="31">
        <v>44906</v>
      </c>
      <c r="AB44" s="32" t="s">
        <v>385</v>
      </c>
      <c r="AC44" s="32">
        <v>7</v>
      </c>
    </row>
    <row r="45" spans="1:29" ht="37.5" customHeight="1" x14ac:dyDescent="0.2">
      <c r="A45" s="4">
        <v>41</v>
      </c>
      <c r="B45" s="10" t="s">
        <v>86</v>
      </c>
      <c r="C45" s="11" t="s">
        <v>87</v>
      </c>
      <c r="D45" s="27" t="s">
        <v>4</v>
      </c>
      <c r="E45" s="28" t="s">
        <v>3</v>
      </c>
      <c r="F45" s="32">
        <v>73</v>
      </c>
      <c r="G45" s="27" t="s">
        <v>449</v>
      </c>
      <c r="H45" s="33" t="s">
        <v>258</v>
      </c>
      <c r="I45" s="27" t="s">
        <v>663</v>
      </c>
      <c r="J45" s="32">
        <v>39923639</v>
      </c>
      <c r="K45" s="32"/>
      <c r="L45" s="32" t="s">
        <v>259</v>
      </c>
      <c r="M45" s="32">
        <v>39923639</v>
      </c>
      <c r="N45" s="32" t="s">
        <v>259</v>
      </c>
      <c r="O45" s="32">
        <v>39923639</v>
      </c>
      <c r="P45" s="32" t="s">
        <v>260</v>
      </c>
      <c r="Q45" s="32">
        <v>33335114</v>
      </c>
      <c r="R45" s="32">
        <v>1024</v>
      </c>
      <c r="S45" s="32">
        <v>2629</v>
      </c>
      <c r="T45" s="32">
        <v>226</v>
      </c>
      <c r="U45" s="32" t="s">
        <v>261</v>
      </c>
      <c r="V45" s="32" t="s">
        <v>295</v>
      </c>
      <c r="W45" s="54">
        <v>44077</v>
      </c>
      <c r="X45" s="30" t="s">
        <v>562</v>
      </c>
      <c r="Y45" s="32">
        <v>2019</v>
      </c>
      <c r="Z45" s="31">
        <v>44808</v>
      </c>
      <c r="AA45" s="31">
        <v>45539</v>
      </c>
      <c r="AB45" s="32" t="s">
        <v>390</v>
      </c>
      <c r="AC45" s="32">
        <v>4</v>
      </c>
    </row>
    <row r="46" spans="1:29" ht="30" customHeight="1" x14ac:dyDescent="0.2">
      <c r="A46" s="4">
        <v>42</v>
      </c>
      <c r="B46" s="10" t="s">
        <v>88</v>
      </c>
      <c r="C46" s="10" t="s">
        <v>89</v>
      </c>
      <c r="D46" s="27" t="s">
        <v>4</v>
      </c>
      <c r="E46" s="28" t="s">
        <v>2</v>
      </c>
      <c r="F46" s="32">
        <v>92</v>
      </c>
      <c r="G46" s="32">
        <v>32010005</v>
      </c>
      <c r="H46" s="32" t="s">
        <v>288</v>
      </c>
      <c r="I46" s="27" t="s">
        <v>289</v>
      </c>
      <c r="J46" s="32">
        <v>39027650</v>
      </c>
      <c r="K46" s="32"/>
      <c r="L46" s="32" t="s">
        <v>290</v>
      </c>
      <c r="M46" s="32">
        <v>39688008</v>
      </c>
      <c r="N46" s="32" t="s">
        <v>291</v>
      </c>
      <c r="O46" s="32">
        <v>37734599</v>
      </c>
      <c r="P46" s="32" t="s">
        <v>291</v>
      </c>
      <c r="Q46" s="32">
        <v>37734599</v>
      </c>
      <c r="R46" s="32">
        <v>1800</v>
      </c>
      <c r="S46" s="32">
        <v>4153</v>
      </c>
      <c r="T46" s="32">
        <v>341</v>
      </c>
      <c r="U46" s="32" t="s">
        <v>292</v>
      </c>
      <c r="V46" s="32" t="s">
        <v>296</v>
      </c>
      <c r="W46" s="39">
        <v>44372</v>
      </c>
      <c r="X46" s="30" t="s">
        <v>563</v>
      </c>
      <c r="Y46" s="32">
        <v>2021</v>
      </c>
      <c r="Z46" s="31">
        <v>44372</v>
      </c>
      <c r="AA46" s="31">
        <v>45102</v>
      </c>
      <c r="AB46" s="32" t="s">
        <v>391</v>
      </c>
      <c r="AC46" s="32">
        <v>1</v>
      </c>
    </row>
    <row r="47" spans="1:29" ht="35.25" customHeight="1" x14ac:dyDescent="0.2">
      <c r="A47" s="4">
        <v>43</v>
      </c>
      <c r="B47" s="10" t="s">
        <v>90</v>
      </c>
      <c r="C47" s="11" t="s">
        <v>606</v>
      </c>
      <c r="D47" s="27" t="s">
        <v>4</v>
      </c>
      <c r="E47" s="28" t="s">
        <v>2</v>
      </c>
      <c r="F47" s="32">
        <v>230</v>
      </c>
      <c r="G47" s="27" t="s">
        <v>456</v>
      </c>
      <c r="H47" s="37" t="s">
        <v>588</v>
      </c>
      <c r="I47" s="32" t="s">
        <v>458</v>
      </c>
      <c r="J47" s="32">
        <v>33654050</v>
      </c>
      <c r="K47" s="32"/>
      <c r="L47" s="32" t="s">
        <v>459</v>
      </c>
      <c r="M47" s="32">
        <v>33163244</v>
      </c>
      <c r="N47" s="32" t="s">
        <v>453</v>
      </c>
      <c r="O47" s="32">
        <v>39226013</v>
      </c>
      <c r="P47" s="32" t="s">
        <v>453</v>
      </c>
      <c r="Q47" s="27" t="s">
        <v>454</v>
      </c>
      <c r="R47" s="32">
        <v>57</v>
      </c>
      <c r="S47" s="32">
        <v>322</v>
      </c>
      <c r="T47" s="32">
        <v>327</v>
      </c>
      <c r="U47" s="32" t="s">
        <v>457</v>
      </c>
      <c r="V47" s="32" t="s">
        <v>296</v>
      </c>
      <c r="W47" s="39">
        <v>42194</v>
      </c>
      <c r="X47" s="30" t="s">
        <v>564</v>
      </c>
      <c r="Y47" s="32">
        <v>2015</v>
      </c>
      <c r="Z47" s="31">
        <v>44387</v>
      </c>
      <c r="AA47" s="31">
        <v>45117</v>
      </c>
      <c r="AB47" s="32" t="s">
        <v>455</v>
      </c>
      <c r="AC47" s="32">
        <v>6</v>
      </c>
    </row>
    <row r="48" spans="1:29" ht="30" customHeight="1" x14ac:dyDescent="0.2">
      <c r="A48" s="4">
        <v>44</v>
      </c>
      <c r="B48" s="10" t="s">
        <v>91</v>
      </c>
      <c r="C48" s="11" t="s">
        <v>92</v>
      </c>
      <c r="D48" s="27" t="s">
        <v>4</v>
      </c>
      <c r="E48" s="28" t="s">
        <v>3</v>
      </c>
      <c r="F48" s="32">
        <v>53</v>
      </c>
      <c r="G48" s="32">
        <v>39769904</v>
      </c>
      <c r="H48" s="33" t="s">
        <v>263</v>
      </c>
      <c r="I48" s="32" t="s">
        <v>264</v>
      </c>
      <c r="J48" s="32">
        <v>17689909</v>
      </c>
      <c r="K48" s="32"/>
      <c r="L48" s="32" t="s">
        <v>265</v>
      </c>
      <c r="M48" s="32">
        <v>35374988</v>
      </c>
      <c r="N48" s="32" t="s">
        <v>265</v>
      </c>
      <c r="O48" s="32">
        <v>35374988</v>
      </c>
      <c r="P48" s="32" t="s">
        <v>266</v>
      </c>
      <c r="Q48" s="32">
        <v>35374988</v>
      </c>
      <c r="R48" s="32">
        <v>771</v>
      </c>
      <c r="S48" s="32">
        <v>202</v>
      </c>
      <c r="T48" s="32">
        <v>802</v>
      </c>
      <c r="U48" s="32" t="s">
        <v>220</v>
      </c>
      <c r="V48" s="32" t="s">
        <v>298</v>
      </c>
      <c r="W48" s="39">
        <v>42159</v>
      </c>
      <c r="X48" s="30" t="s">
        <v>565</v>
      </c>
      <c r="Y48" s="32">
        <v>1976</v>
      </c>
      <c r="Z48" s="31">
        <v>44352</v>
      </c>
      <c r="AA48" s="31">
        <v>45082</v>
      </c>
      <c r="AB48" s="32" t="s">
        <v>262</v>
      </c>
      <c r="AC48" s="32">
        <v>4</v>
      </c>
    </row>
    <row r="49" spans="1:30" ht="30" customHeight="1" x14ac:dyDescent="0.2">
      <c r="A49" s="4">
        <v>45</v>
      </c>
      <c r="B49" s="10" t="s">
        <v>93</v>
      </c>
      <c r="C49" s="11" t="s">
        <v>94</v>
      </c>
      <c r="D49" s="27" t="s">
        <v>4</v>
      </c>
      <c r="E49" s="28" t="s">
        <v>2</v>
      </c>
      <c r="F49" s="32">
        <v>64</v>
      </c>
      <c r="G49" s="32">
        <v>17721851</v>
      </c>
      <c r="H49" s="34" t="s">
        <v>407</v>
      </c>
      <c r="I49" s="32" t="s">
        <v>496</v>
      </c>
      <c r="J49" s="32">
        <v>39460730</v>
      </c>
      <c r="K49" s="32"/>
      <c r="L49" s="32" t="s">
        <v>496</v>
      </c>
      <c r="M49" s="32">
        <v>39460730</v>
      </c>
      <c r="N49" s="32" t="s">
        <v>497</v>
      </c>
      <c r="O49" s="32">
        <v>17721851</v>
      </c>
      <c r="P49" s="32"/>
      <c r="Q49" s="32"/>
      <c r="R49" s="32">
        <v>530</v>
      </c>
      <c r="S49" s="32">
        <v>3211</v>
      </c>
      <c r="T49" s="32">
        <v>332</v>
      </c>
      <c r="U49" s="32" t="s">
        <v>498</v>
      </c>
      <c r="V49" s="32" t="s">
        <v>296</v>
      </c>
      <c r="W49" s="39">
        <v>42187</v>
      </c>
      <c r="X49" s="30" t="s">
        <v>566</v>
      </c>
      <c r="Y49" s="32">
        <v>1984</v>
      </c>
      <c r="Z49" s="31">
        <v>44380</v>
      </c>
      <c r="AA49" s="31">
        <v>45110</v>
      </c>
      <c r="AB49" s="32" t="s">
        <v>495</v>
      </c>
      <c r="AC49" s="32">
        <v>4</v>
      </c>
    </row>
    <row r="50" spans="1:30" ht="30" customHeight="1" x14ac:dyDescent="0.2">
      <c r="A50" s="4">
        <v>46</v>
      </c>
      <c r="B50" s="10" t="s">
        <v>95</v>
      </c>
      <c r="C50" s="11" t="s">
        <v>613</v>
      </c>
      <c r="D50" s="27" t="s">
        <v>4</v>
      </c>
      <c r="E50" s="28" t="s">
        <v>2</v>
      </c>
      <c r="F50" s="32">
        <v>75</v>
      </c>
      <c r="G50" s="32">
        <v>17792010</v>
      </c>
      <c r="H50" s="34" t="s">
        <v>652</v>
      </c>
      <c r="I50" s="27" t="s">
        <v>679</v>
      </c>
      <c r="J50" s="32">
        <v>39453759</v>
      </c>
      <c r="K50" s="32"/>
      <c r="L50" s="32" t="s">
        <v>426</v>
      </c>
      <c r="M50" s="32">
        <v>38850102</v>
      </c>
      <c r="N50" s="32" t="s">
        <v>427</v>
      </c>
      <c r="O50" s="32">
        <v>38850102</v>
      </c>
      <c r="P50" s="32" t="s">
        <v>427</v>
      </c>
      <c r="Q50" s="32">
        <v>38850102</v>
      </c>
      <c r="R50" s="32">
        <v>12</v>
      </c>
      <c r="S50" s="32">
        <v>15</v>
      </c>
      <c r="T50" s="32">
        <v>533</v>
      </c>
      <c r="U50" s="32" t="s">
        <v>228</v>
      </c>
      <c r="V50" s="32" t="s">
        <v>297</v>
      </c>
      <c r="W50" s="39">
        <v>42194</v>
      </c>
      <c r="X50" s="30" t="s">
        <v>567</v>
      </c>
      <c r="Y50" s="32">
        <v>2008</v>
      </c>
      <c r="Z50" s="31">
        <v>44387</v>
      </c>
      <c r="AA50" s="31">
        <v>45117</v>
      </c>
      <c r="AB50" s="32" t="s">
        <v>460</v>
      </c>
      <c r="AC50" s="32">
        <v>5</v>
      </c>
    </row>
    <row r="51" spans="1:30" ht="35.25" customHeight="1" x14ac:dyDescent="0.2">
      <c r="A51" s="4">
        <v>47</v>
      </c>
      <c r="B51" s="10" t="s">
        <v>96</v>
      </c>
      <c r="C51" s="11" t="s">
        <v>97</v>
      </c>
      <c r="D51" s="27" t="s">
        <v>4</v>
      </c>
      <c r="E51" s="28" t="s">
        <v>3</v>
      </c>
      <c r="F51" s="32">
        <v>185</v>
      </c>
      <c r="G51" s="32">
        <v>36555958</v>
      </c>
      <c r="H51" s="33" t="s">
        <v>408</v>
      </c>
      <c r="I51" s="27" t="s">
        <v>646</v>
      </c>
      <c r="J51" s="32">
        <v>66966096</v>
      </c>
      <c r="K51" s="32"/>
      <c r="L51" s="32" t="s">
        <v>461</v>
      </c>
      <c r="M51" s="32">
        <v>66966096</v>
      </c>
      <c r="N51" s="32" t="s">
        <v>461</v>
      </c>
      <c r="O51" s="27" t="s">
        <v>462</v>
      </c>
      <c r="P51" s="32" t="s">
        <v>461</v>
      </c>
      <c r="Q51" s="27" t="s">
        <v>462</v>
      </c>
      <c r="R51" s="32">
        <v>1419</v>
      </c>
      <c r="S51" s="32">
        <v>2823</v>
      </c>
      <c r="T51" s="32">
        <v>228</v>
      </c>
      <c r="U51" s="32" t="s">
        <v>465</v>
      </c>
      <c r="V51" s="32" t="s">
        <v>295</v>
      </c>
      <c r="W51" s="39">
        <v>42152</v>
      </c>
      <c r="X51" s="30" t="s">
        <v>568</v>
      </c>
      <c r="Y51" s="32">
        <v>2015</v>
      </c>
      <c r="Z51" s="31">
        <v>44345</v>
      </c>
      <c r="AA51" s="31">
        <v>45075</v>
      </c>
      <c r="AB51" s="32" t="s">
        <v>463</v>
      </c>
      <c r="AC51" s="27" t="s">
        <v>464</v>
      </c>
    </row>
    <row r="52" spans="1:30" ht="28.5" customHeight="1" x14ac:dyDescent="0.2">
      <c r="A52" s="4">
        <v>48</v>
      </c>
      <c r="B52" s="10" t="s">
        <v>98</v>
      </c>
      <c r="C52" s="11" t="s">
        <v>99</v>
      </c>
      <c r="D52" s="27" t="s">
        <v>4</v>
      </c>
      <c r="E52" s="28" t="s">
        <v>3</v>
      </c>
      <c r="F52" s="32">
        <v>83</v>
      </c>
      <c r="G52" s="32">
        <v>17420033</v>
      </c>
      <c r="H52" s="33" t="s">
        <v>293</v>
      </c>
      <c r="I52" s="32" t="s">
        <v>467</v>
      </c>
      <c r="J52" s="32">
        <v>36008668</v>
      </c>
      <c r="K52" s="32"/>
      <c r="L52" s="32" t="s">
        <v>467</v>
      </c>
      <c r="M52" s="32">
        <v>36008668</v>
      </c>
      <c r="N52" s="32" t="s">
        <v>467</v>
      </c>
      <c r="O52" s="32">
        <v>36008668</v>
      </c>
      <c r="P52" s="32" t="s">
        <v>467</v>
      </c>
      <c r="Q52" s="27" t="s">
        <v>468</v>
      </c>
      <c r="R52" s="32">
        <v>1351</v>
      </c>
      <c r="S52" s="32">
        <v>922</v>
      </c>
      <c r="T52" s="32">
        <v>1209</v>
      </c>
      <c r="U52" s="32" t="s">
        <v>328</v>
      </c>
      <c r="V52" s="32" t="s">
        <v>297</v>
      </c>
      <c r="W52" s="39">
        <v>42306</v>
      </c>
      <c r="X52" s="30" t="s">
        <v>569</v>
      </c>
      <c r="Y52" s="32">
        <v>1979</v>
      </c>
      <c r="Z52" s="31">
        <v>44499</v>
      </c>
      <c r="AA52" s="31">
        <v>45229</v>
      </c>
      <c r="AB52" s="32" t="s">
        <v>466</v>
      </c>
      <c r="AC52" s="32">
        <v>6</v>
      </c>
    </row>
    <row r="53" spans="1:30" ht="39.75" customHeight="1" x14ac:dyDescent="0.2">
      <c r="A53" s="4">
        <v>49</v>
      </c>
      <c r="B53" s="10" t="s">
        <v>101</v>
      </c>
      <c r="C53" s="11" t="s">
        <v>102</v>
      </c>
      <c r="D53" s="27" t="s">
        <v>4</v>
      </c>
      <c r="E53" s="28" t="s">
        <v>2</v>
      </c>
      <c r="F53" s="32">
        <v>60</v>
      </c>
      <c r="G53" s="32">
        <v>17669079</v>
      </c>
      <c r="H53" s="33" t="s">
        <v>471</v>
      </c>
      <c r="I53" s="32" t="s">
        <v>472</v>
      </c>
      <c r="J53" s="32">
        <v>39200200</v>
      </c>
      <c r="K53" s="32"/>
      <c r="L53" s="32" t="s">
        <v>585</v>
      </c>
      <c r="M53" s="32">
        <v>32063696</v>
      </c>
      <c r="N53" s="32" t="s">
        <v>473</v>
      </c>
      <c r="O53" s="32">
        <v>38340093</v>
      </c>
      <c r="P53" s="32" t="s">
        <v>473</v>
      </c>
      <c r="Q53" s="32">
        <v>38340093</v>
      </c>
      <c r="R53" s="32">
        <v>160</v>
      </c>
      <c r="S53" s="32">
        <v>4005</v>
      </c>
      <c r="T53" s="32">
        <v>340</v>
      </c>
      <c r="U53" s="32" t="s">
        <v>292</v>
      </c>
      <c r="V53" s="32" t="s">
        <v>296</v>
      </c>
      <c r="W53" s="39">
        <v>42747</v>
      </c>
      <c r="X53" s="30" t="s">
        <v>571</v>
      </c>
      <c r="Y53" s="32">
        <v>2016</v>
      </c>
      <c r="Z53" s="31">
        <v>44939</v>
      </c>
      <c r="AA53" s="31">
        <v>45670</v>
      </c>
      <c r="AB53" s="32" t="s">
        <v>470</v>
      </c>
      <c r="AC53" s="32">
        <v>5</v>
      </c>
    </row>
    <row r="54" spans="1:30" ht="30" customHeight="1" x14ac:dyDescent="0.2">
      <c r="A54" s="4">
        <v>50</v>
      </c>
      <c r="B54" s="10" t="s">
        <v>103</v>
      </c>
      <c r="C54" s="11" t="s">
        <v>104</v>
      </c>
      <c r="D54" s="27" t="s">
        <v>4</v>
      </c>
      <c r="E54" s="28" t="s">
        <v>3</v>
      </c>
      <c r="F54" s="32">
        <v>55</v>
      </c>
      <c r="G54" s="32">
        <v>77027000</v>
      </c>
      <c r="H54" s="33" t="s">
        <v>408</v>
      </c>
      <c r="I54" s="32" t="s">
        <v>461</v>
      </c>
      <c r="J54" s="32">
        <v>66966096</v>
      </c>
      <c r="K54" s="32"/>
      <c r="L54" s="32" t="s">
        <v>476</v>
      </c>
      <c r="M54" s="32">
        <v>36182892</v>
      </c>
      <c r="N54" s="32" t="s">
        <v>461</v>
      </c>
      <c r="O54" s="32">
        <v>66966096</v>
      </c>
      <c r="P54" s="32" t="s">
        <v>474</v>
      </c>
      <c r="Q54" s="27" t="s">
        <v>462</v>
      </c>
      <c r="R54" s="32">
        <v>1442</v>
      </c>
      <c r="S54" s="32">
        <v>2823</v>
      </c>
      <c r="T54" s="32">
        <v>228</v>
      </c>
      <c r="U54" s="32" t="s">
        <v>465</v>
      </c>
      <c r="V54" s="32" t="s">
        <v>295</v>
      </c>
      <c r="W54" s="39">
        <v>42838</v>
      </c>
      <c r="X54" s="30" t="s">
        <v>572</v>
      </c>
      <c r="Y54" s="32">
        <v>2017</v>
      </c>
      <c r="Z54" s="31">
        <v>45030</v>
      </c>
      <c r="AA54" s="31">
        <v>45761</v>
      </c>
      <c r="AB54" s="32" t="s">
        <v>475</v>
      </c>
      <c r="AC54" s="32">
        <v>6</v>
      </c>
    </row>
    <row r="55" spans="1:30" ht="30" customHeight="1" x14ac:dyDescent="0.2">
      <c r="A55" s="4">
        <v>51</v>
      </c>
      <c r="B55" s="10" t="s">
        <v>105</v>
      </c>
      <c r="C55" s="11" t="s">
        <v>106</v>
      </c>
      <c r="D55" s="27" t="s">
        <v>4</v>
      </c>
      <c r="E55" s="28" t="s">
        <v>3</v>
      </c>
      <c r="F55" s="32">
        <v>204</v>
      </c>
      <c r="G55" s="27" t="s">
        <v>409</v>
      </c>
      <c r="H55" s="32" t="s">
        <v>267</v>
      </c>
      <c r="I55" s="32" t="s">
        <v>268</v>
      </c>
      <c r="J55" s="32">
        <v>39443373</v>
      </c>
      <c r="K55" s="32"/>
      <c r="L55" s="32" t="s">
        <v>268</v>
      </c>
      <c r="M55" s="32">
        <v>39443373</v>
      </c>
      <c r="N55" s="32" t="s">
        <v>269</v>
      </c>
      <c r="O55" s="32">
        <v>36878575</v>
      </c>
      <c r="P55" s="32" t="s">
        <v>269</v>
      </c>
      <c r="Q55" s="32">
        <v>36878575</v>
      </c>
      <c r="R55" s="32">
        <v>898</v>
      </c>
      <c r="S55" s="32">
        <v>4323</v>
      </c>
      <c r="T55" s="32">
        <v>243</v>
      </c>
      <c r="U55" s="32" t="s">
        <v>270</v>
      </c>
      <c r="V55" s="32" t="s">
        <v>295</v>
      </c>
      <c r="W55" s="39">
        <v>43307</v>
      </c>
      <c r="X55" s="30" t="s">
        <v>573</v>
      </c>
      <c r="Y55" s="32">
        <v>2018</v>
      </c>
      <c r="Z55" s="31">
        <v>44769</v>
      </c>
      <c r="AA55" s="31">
        <v>45500</v>
      </c>
      <c r="AB55" s="32" t="s">
        <v>477</v>
      </c>
      <c r="AC55" s="32">
        <v>11</v>
      </c>
    </row>
    <row r="56" spans="1:30" ht="35.25" customHeight="1" x14ac:dyDescent="0.2">
      <c r="A56" s="4">
        <v>52</v>
      </c>
      <c r="B56" s="10" t="s">
        <v>478</v>
      </c>
      <c r="C56" s="11" t="s">
        <v>107</v>
      </c>
      <c r="D56" s="27" t="s">
        <v>4</v>
      </c>
      <c r="E56" s="28" t="s">
        <v>2</v>
      </c>
      <c r="F56" s="32">
        <v>164</v>
      </c>
      <c r="G56" s="27" t="s">
        <v>450</v>
      </c>
      <c r="H56" s="34" t="s">
        <v>587</v>
      </c>
      <c r="I56" s="27" t="s">
        <v>271</v>
      </c>
      <c r="J56" s="32">
        <v>33600097</v>
      </c>
      <c r="K56" s="32"/>
      <c r="L56" s="32" t="s">
        <v>272</v>
      </c>
      <c r="M56" s="32">
        <v>39234764</v>
      </c>
      <c r="N56" s="32" t="s">
        <v>273</v>
      </c>
      <c r="O56" s="32">
        <v>39226013</v>
      </c>
      <c r="P56" s="27" t="s">
        <v>274</v>
      </c>
      <c r="Q56" s="27" t="s">
        <v>275</v>
      </c>
      <c r="R56" s="32">
        <v>550</v>
      </c>
      <c r="S56" s="32">
        <v>7908</v>
      </c>
      <c r="T56" s="32">
        <v>579</v>
      </c>
      <c r="U56" s="32" t="s">
        <v>276</v>
      </c>
      <c r="V56" s="32" t="s">
        <v>296</v>
      </c>
      <c r="W56" s="39">
        <v>43699</v>
      </c>
      <c r="X56" s="30" t="s">
        <v>574</v>
      </c>
      <c r="Y56" s="32">
        <v>2019</v>
      </c>
      <c r="Z56" s="31">
        <v>44431</v>
      </c>
      <c r="AA56" s="31">
        <v>45161</v>
      </c>
      <c r="AB56" s="32" t="s">
        <v>479</v>
      </c>
      <c r="AC56" s="32">
        <v>5</v>
      </c>
    </row>
    <row r="57" spans="1:30" ht="30" customHeight="1" x14ac:dyDescent="0.2">
      <c r="A57" s="4">
        <v>53</v>
      </c>
      <c r="B57" s="10" t="s">
        <v>112</v>
      </c>
      <c r="C57" s="11" t="s">
        <v>113</v>
      </c>
      <c r="D57" s="27" t="s">
        <v>4</v>
      </c>
      <c r="E57" s="28" t="s">
        <v>3</v>
      </c>
      <c r="F57" s="32">
        <v>75</v>
      </c>
      <c r="G57" s="32">
        <v>39479667</v>
      </c>
      <c r="H57" s="33" t="s">
        <v>410</v>
      </c>
      <c r="I57" s="32" t="s">
        <v>490</v>
      </c>
      <c r="J57" s="32">
        <v>39293477</v>
      </c>
      <c r="K57" s="32"/>
      <c r="L57" s="32" t="s">
        <v>481</v>
      </c>
      <c r="M57" s="32">
        <v>39479667</v>
      </c>
      <c r="N57" s="32" t="s">
        <v>481</v>
      </c>
      <c r="O57" s="32">
        <v>39479667</v>
      </c>
      <c r="P57" s="32" t="s">
        <v>481</v>
      </c>
      <c r="Q57" s="32">
        <v>39479667</v>
      </c>
      <c r="R57" s="32">
        <v>724</v>
      </c>
      <c r="S57" s="32">
        <v>1725</v>
      </c>
      <c r="T57" s="32">
        <v>517</v>
      </c>
      <c r="U57" s="32" t="s">
        <v>238</v>
      </c>
      <c r="V57" s="32" t="s">
        <v>297</v>
      </c>
      <c r="W57" s="39">
        <v>42054</v>
      </c>
      <c r="X57" s="30" t="s">
        <v>577</v>
      </c>
      <c r="Y57" s="32">
        <v>2015</v>
      </c>
      <c r="Z57" s="31">
        <v>44977</v>
      </c>
      <c r="AA57" s="31">
        <v>45708</v>
      </c>
      <c r="AB57" s="32" t="s">
        <v>482</v>
      </c>
      <c r="AC57" s="32">
        <v>3</v>
      </c>
    </row>
    <row r="58" spans="1:30" ht="30" customHeight="1" x14ac:dyDescent="0.2">
      <c r="A58" s="4">
        <v>54</v>
      </c>
      <c r="B58" s="10" t="s">
        <v>397</v>
      </c>
      <c r="C58" s="11" t="s">
        <v>396</v>
      </c>
      <c r="D58" s="27" t="s">
        <v>4</v>
      </c>
      <c r="E58" s="28" t="s">
        <v>2</v>
      </c>
      <c r="F58" s="32">
        <v>39</v>
      </c>
      <c r="G58" s="32">
        <v>37009090</v>
      </c>
      <c r="H58" s="27" t="s">
        <v>398</v>
      </c>
      <c r="I58" s="27" t="s">
        <v>509</v>
      </c>
      <c r="J58" s="32">
        <v>36648383</v>
      </c>
      <c r="K58" s="32"/>
      <c r="L58" s="27" t="s">
        <v>277</v>
      </c>
      <c r="M58" s="32">
        <v>36099969</v>
      </c>
      <c r="N58" s="27" t="s">
        <v>278</v>
      </c>
      <c r="O58" s="32">
        <v>36313163</v>
      </c>
      <c r="P58" s="32" t="s">
        <v>279</v>
      </c>
      <c r="Q58" s="32">
        <v>36313163</v>
      </c>
      <c r="R58" s="32">
        <v>1444</v>
      </c>
      <c r="S58" s="32">
        <v>3334</v>
      </c>
      <c r="T58" s="32">
        <v>933</v>
      </c>
      <c r="U58" s="32" t="s">
        <v>280</v>
      </c>
      <c r="V58" s="32" t="s">
        <v>298</v>
      </c>
      <c r="W58" s="39">
        <v>44791</v>
      </c>
      <c r="X58" s="30" t="s">
        <v>582</v>
      </c>
      <c r="Y58" s="32">
        <v>2019</v>
      </c>
      <c r="Z58" s="31">
        <v>44791</v>
      </c>
      <c r="AA58" s="31">
        <v>45522</v>
      </c>
      <c r="AB58" s="32" t="s">
        <v>483</v>
      </c>
      <c r="AC58" s="32">
        <v>4</v>
      </c>
    </row>
    <row r="59" spans="1:30" ht="30" customHeight="1" x14ac:dyDescent="0.2">
      <c r="A59" s="4">
        <v>55</v>
      </c>
      <c r="B59" s="10" t="s">
        <v>503</v>
      </c>
      <c r="C59" s="11" t="s">
        <v>609</v>
      </c>
      <c r="D59" s="27" t="s">
        <v>4</v>
      </c>
      <c r="E59" s="28" t="s">
        <v>3</v>
      </c>
      <c r="F59" s="32">
        <v>28</v>
      </c>
      <c r="G59" s="32">
        <v>39407772</v>
      </c>
      <c r="H59" s="34" t="s">
        <v>641</v>
      </c>
      <c r="I59" s="32" t="s">
        <v>506</v>
      </c>
      <c r="J59" s="32">
        <v>33899811</v>
      </c>
      <c r="K59" s="32"/>
      <c r="L59" s="32" t="s">
        <v>506</v>
      </c>
      <c r="M59" s="32">
        <v>39407772</v>
      </c>
      <c r="N59" s="32"/>
      <c r="O59" s="32"/>
      <c r="P59" s="32"/>
      <c r="Q59" s="27"/>
      <c r="R59" s="32">
        <v>3989</v>
      </c>
      <c r="S59" s="32">
        <v>5068</v>
      </c>
      <c r="T59" s="32">
        <v>950</v>
      </c>
      <c r="U59" s="32" t="s">
        <v>504</v>
      </c>
      <c r="V59" s="32" t="s">
        <v>298</v>
      </c>
      <c r="W59" s="39">
        <v>44976</v>
      </c>
      <c r="X59" s="30" t="s">
        <v>584</v>
      </c>
      <c r="Y59" s="32">
        <v>2023</v>
      </c>
      <c r="Z59" s="32"/>
      <c r="AA59" s="32"/>
      <c r="AB59" s="32" t="s">
        <v>604</v>
      </c>
      <c r="AC59" s="32"/>
    </row>
    <row r="60" spans="1:30" ht="39" customHeight="1" x14ac:dyDescent="0.2">
      <c r="A60" s="4">
        <v>56</v>
      </c>
      <c r="B60" s="10" t="s">
        <v>701</v>
      </c>
      <c r="C60" s="11" t="s">
        <v>702</v>
      </c>
      <c r="D60" s="27" t="s">
        <v>4</v>
      </c>
      <c r="E60" s="28" t="s">
        <v>3</v>
      </c>
      <c r="F60" s="32">
        <v>54</v>
      </c>
      <c r="G60" s="32" t="s">
        <v>709</v>
      </c>
      <c r="H60" s="34" t="s">
        <v>703</v>
      </c>
      <c r="I60" s="27" t="s">
        <v>707</v>
      </c>
      <c r="J60" s="27" t="s">
        <v>711</v>
      </c>
      <c r="K60" s="32"/>
      <c r="L60" s="32" t="s">
        <v>716</v>
      </c>
      <c r="M60" s="32">
        <v>33272444</v>
      </c>
      <c r="N60" s="32" t="s">
        <v>704</v>
      </c>
      <c r="O60" s="27" t="s">
        <v>705</v>
      </c>
      <c r="P60" s="32"/>
      <c r="Q60" s="27"/>
      <c r="R60" s="32">
        <v>963</v>
      </c>
      <c r="S60" s="32">
        <v>1818</v>
      </c>
      <c r="T60" s="32">
        <v>518</v>
      </c>
      <c r="U60" s="32" t="s">
        <v>617</v>
      </c>
      <c r="V60" s="32" t="s">
        <v>297</v>
      </c>
      <c r="W60" s="39"/>
      <c r="X60" s="30"/>
      <c r="Y60" s="32">
        <v>2023</v>
      </c>
      <c r="Z60" s="32"/>
      <c r="AA60" s="32"/>
      <c r="AB60" s="32" t="s">
        <v>635</v>
      </c>
      <c r="AC60" s="32"/>
      <c r="AD60" s="1" t="s">
        <v>700</v>
      </c>
    </row>
    <row r="61" spans="1:30" ht="30" customHeight="1" x14ac:dyDescent="0.2">
      <c r="A61" s="4">
        <v>57</v>
      </c>
      <c r="B61" s="11" t="s">
        <v>672</v>
      </c>
      <c r="C61" s="11" t="s">
        <v>637</v>
      </c>
      <c r="D61" s="27" t="s">
        <v>4</v>
      </c>
      <c r="E61" s="28" t="s">
        <v>2</v>
      </c>
      <c r="F61" s="32">
        <v>61</v>
      </c>
      <c r="G61" s="27" t="s">
        <v>644</v>
      </c>
      <c r="H61" s="34" t="s">
        <v>643</v>
      </c>
      <c r="I61" s="60" t="s">
        <v>640</v>
      </c>
      <c r="J61" s="56" t="s">
        <v>708</v>
      </c>
      <c r="K61" s="9"/>
      <c r="L61" s="62" t="s">
        <v>638</v>
      </c>
      <c r="M61" s="56">
        <v>35354900</v>
      </c>
      <c r="N61" s="32" t="s">
        <v>638</v>
      </c>
      <c r="O61" s="32">
        <v>35354900</v>
      </c>
      <c r="P61" s="32"/>
      <c r="Q61" s="27"/>
      <c r="R61" s="32">
        <v>2288</v>
      </c>
      <c r="S61" s="32">
        <v>737</v>
      </c>
      <c r="T61" s="32">
        <v>507</v>
      </c>
      <c r="U61" s="32" t="s">
        <v>639</v>
      </c>
      <c r="V61" s="32" t="s">
        <v>297</v>
      </c>
      <c r="W61" s="39"/>
      <c r="X61" s="30"/>
      <c r="Y61" s="32">
        <v>2023</v>
      </c>
      <c r="Z61" s="32"/>
      <c r="AA61" s="32"/>
      <c r="AB61" s="32" t="s">
        <v>675</v>
      </c>
      <c r="AC61" s="32">
        <v>4</v>
      </c>
    </row>
    <row r="62" spans="1:30" ht="54" customHeight="1" x14ac:dyDescent="0.55000000000000004">
      <c r="A62" s="4">
        <v>58</v>
      </c>
      <c r="B62" s="11" t="s">
        <v>647</v>
      </c>
      <c r="C62" s="11" t="s">
        <v>648</v>
      </c>
      <c r="D62" s="27" t="s">
        <v>4</v>
      </c>
      <c r="E62" s="28" t="s">
        <v>2</v>
      </c>
      <c r="F62" s="32">
        <v>96</v>
      </c>
      <c r="G62" s="27">
        <v>17700412</v>
      </c>
      <c r="H62" s="34" t="s">
        <v>650</v>
      </c>
      <c r="I62" s="61" t="s">
        <v>649</v>
      </c>
      <c r="J62" s="32">
        <v>39653303</v>
      </c>
      <c r="K62" s="32"/>
      <c r="L62" s="61" t="s">
        <v>717</v>
      </c>
      <c r="M62" s="32">
        <v>39653303</v>
      </c>
      <c r="N62" s="32" t="s">
        <v>660</v>
      </c>
      <c r="O62" s="32">
        <v>39653303</v>
      </c>
      <c r="P62" s="32"/>
      <c r="Q62" s="27"/>
      <c r="R62" s="32">
        <v>641</v>
      </c>
      <c r="S62" s="32">
        <v>1320</v>
      </c>
      <c r="T62" s="32">
        <v>513</v>
      </c>
      <c r="U62" s="32" t="s">
        <v>238</v>
      </c>
      <c r="V62" s="32" t="s">
        <v>297</v>
      </c>
      <c r="W62" s="39"/>
      <c r="X62" s="30"/>
      <c r="Y62" s="32">
        <v>2024</v>
      </c>
      <c r="Z62" s="32"/>
      <c r="AA62" s="32"/>
      <c r="AB62" s="32" t="s">
        <v>674</v>
      </c>
      <c r="AC62" s="32"/>
    </row>
    <row r="63" spans="1:30" ht="54" customHeight="1" x14ac:dyDescent="0.2">
      <c r="A63" s="4">
        <v>59</v>
      </c>
      <c r="B63" s="11" t="s">
        <v>662</v>
      </c>
      <c r="C63" s="11" t="s">
        <v>661</v>
      </c>
      <c r="D63" s="27" t="s">
        <v>4</v>
      </c>
      <c r="E63" s="28" t="s">
        <v>2</v>
      </c>
      <c r="F63" s="32">
        <v>55</v>
      </c>
      <c r="G63" s="27">
        <v>32313142</v>
      </c>
      <c r="H63" s="55" t="s">
        <v>677</v>
      </c>
      <c r="I63" s="58" t="s">
        <v>663</v>
      </c>
      <c r="J63" s="27">
        <v>39175868</v>
      </c>
      <c r="K63" s="27"/>
      <c r="L63" s="58" t="s">
        <v>259</v>
      </c>
      <c r="M63" s="32">
        <v>39175868</v>
      </c>
      <c r="N63" s="32" t="s">
        <v>259</v>
      </c>
      <c r="O63" s="27">
        <v>39923639</v>
      </c>
      <c r="P63" s="32"/>
      <c r="Q63" s="27"/>
      <c r="R63" s="32" t="s">
        <v>664</v>
      </c>
      <c r="S63" s="32">
        <v>36</v>
      </c>
      <c r="T63" s="32">
        <v>540</v>
      </c>
      <c r="U63" s="32" t="s">
        <v>665</v>
      </c>
      <c r="V63" s="32" t="s">
        <v>297</v>
      </c>
      <c r="W63" s="39"/>
      <c r="X63" s="30"/>
      <c r="Y63" s="32">
        <v>2024</v>
      </c>
      <c r="Z63" s="32"/>
      <c r="AA63" s="32"/>
      <c r="AB63" s="32" t="s">
        <v>671</v>
      </c>
      <c r="AC63" s="32"/>
    </row>
    <row r="64" spans="1:30" ht="54" customHeight="1" x14ac:dyDescent="0.2">
      <c r="A64" s="4">
        <v>60</v>
      </c>
      <c r="B64" s="11" t="s">
        <v>686</v>
      </c>
      <c r="C64" s="11" t="s">
        <v>695</v>
      </c>
      <c r="D64" s="27" t="s">
        <v>4</v>
      </c>
      <c r="E64" s="28" t="s">
        <v>3</v>
      </c>
      <c r="F64" s="32">
        <v>104</v>
      </c>
      <c r="G64" s="27">
        <v>33149077</v>
      </c>
      <c r="H64" s="34" t="s">
        <v>697</v>
      </c>
      <c r="I64" s="58" t="s">
        <v>692</v>
      </c>
      <c r="J64" s="32">
        <v>39550042</v>
      </c>
      <c r="K64" s="27"/>
      <c r="L64" s="58" t="s">
        <v>718</v>
      </c>
      <c r="M64" s="32">
        <v>39082542</v>
      </c>
      <c r="N64" s="32" t="s">
        <v>696</v>
      </c>
      <c r="O64" s="32">
        <v>39550042</v>
      </c>
      <c r="P64" s="32"/>
      <c r="Q64" s="27"/>
      <c r="R64" s="32">
        <v>131</v>
      </c>
      <c r="S64" s="32">
        <v>2307</v>
      </c>
      <c r="T64" s="32">
        <v>523</v>
      </c>
      <c r="U64" s="32" t="s">
        <v>238</v>
      </c>
      <c r="V64" s="32" t="s">
        <v>297</v>
      </c>
      <c r="W64" s="39"/>
      <c r="X64" s="30"/>
      <c r="Y64" s="32">
        <v>2025</v>
      </c>
      <c r="Z64" s="32"/>
      <c r="AA64" s="32"/>
      <c r="AB64" s="32"/>
      <c r="AC64" s="32"/>
    </row>
    <row r="65" spans="1:30" ht="54" customHeight="1" x14ac:dyDescent="0.2">
      <c r="A65" s="4">
        <v>61</v>
      </c>
      <c r="B65" s="11" t="s">
        <v>687</v>
      </c>
      <c r="C65" s="11" t="s">
        <v>688</v>
      </c>
      <c r="D65" s="27" t="s">
        <v>4</v>
      </c>
      <c r="E65" s="28" t="s">
        <v>3</v>
      </c>
      <c r="F65" s="32">
        <v>68</v>
      </c>
      <c r="G65" s="32">
        <v>39666272</v>
      </c>
      <c r="H65" s="34" t="s">
        <v>698</v>
      </c>
      <c r="I65" s="58" t="s">
        <v>693</v>
      </c>
      <c r="J65" s="32">
        <v>39666428</v>
      </c>
      <c r="K65" s="27"/>
      <c r="L65" s="58" t="s">
        <v>719</v>
      </c>
      <c r="M65" s="32" t="s">
        <v>720</v>
      </c>
      <c r="N65" s="58" t="s">
        <v>699</v>
      </c>
      <c r="O65" s="32">
        <v>39666428</v>
      </c>
      <c r="P65" s="32"/>
      <c r="Q65" s="27"/>
      <c r="R65" s="32">
        <v>682</v>
      </c>
      <c r="S65" s="32">
        <v>407</v>
      </c>
      <c r="T65" s="32">
        <v>604</v>
      </c>
      <c r="U65" s="32" t="s">
        <v>180</v>
      </c>
      <c r="V65" s="32" t="s">
        <v>296</v>
      </c>
      <c r="W65" s="39"/>
      <c r="X65" s="30"/>
      <c r="Y65" s="32">
        <v>2025</v>
      </c>
      <c r="Z65" s="32"/>
      <c r="AA65" s="32"/>
      <c r="AB65" s="32"/>
      <c r="AC65" s="32"/>
    </row>
    <row r="66" spans="1:30" ht="54" customHeight="1" x14ac:dyDescent="0.2">
      <c r="A66" s="4">
        <v>62</v>
      </c>
      <c r="B66" s="43" t="s">
        <v>108</v>
      </c>
      <c r="C66" s="43" t="s">
        <v>109</v>
      </c>
      <c r="D66" s="44" t="s">
        <v>682</v>
      </c>
      <c r="E66" s="45" t="s">
        <v>2</v>
      </c>
      <c r="F66" s="47">
        <v>60</v>
      </c>
      <c r="G66" s="47">
        <v>37577177</v>
      </c>
      <c r="H66" s="57" t="s">
        <v>642</v>
      </c>
      <c r="I66" s="69" t="s">
        <v>480</v>
      </c>
      <c r="J66" s="47">
        <v>37577177</v>
      </c>
      <c r="K66" s="44"/>
      <c r="L66" s="69" t="s">
        <v>480</v>
      </c>
      <c r="M66" s="47">
        <v>37577177</v>
      </c>
      <c r="N66" s="69" t="s">
        <v>480</v>
      </c>
      <c r="O66" s="47">
        <v>37577177</v>
      </c>
      <c r="P66" s="47" t="s">
        <v>480</v>
      </c>
      <c r="Q66" s="44">
        <v>37577177</v>
      </c>
      <c r="R66" s="47"/>
      <c r="S66" s="47"/>
      <c r="T66" s="47"/>
      <c r="U66" s="47"/>
      <c r="V66" s="47"/>
      <c r="W66" s="49">
        <v>44049</v>
      </c>
      <c r="X66" s="46" t="s">
        <v>575</v>
      </c>
      <c r="Y66" s="47">
        <v>2019</v>
      </c>
      <c r="Z66" s="47">
        <v>44780</v>
      </c>
      <c r="AA66" s="47">
        <v>45511</v>
      </c>
      <c r="AB66" s="47" t="s">
        <v>599</v>
      </c>
      <c r="AC66" s="47"/>
    </row>
    <row r="67" spans="1:30" ht="30" customHeight="1" x14ac:dyDescent="0.2">
      <c r="A67" s="4">
        <v>63</v>
      </c>
      <c r="B67" s="42" t="s">
        <v>110</v>
      </c>
      <c r="C67" s="42" t="s">
        <v>111</v>
      </c>
      <c r="D67" s="44" t="s">
        <v>682</v>
      </c>
      <c r="E67" s="45" t="s">
        <v>2</v>
      </c>
      <c r="F67" s="47">
        <v>15</v>
      </c>
      <c r="G67" s="47">
        <v>17770078</v>
      </c>
      <c r="H67" s="48" t="s">
        <v>484</v>
      </c>
      <c r="I67" s="47" t="s">
        <v>485</v>
      </c>
      <c r="J67" s="47">
        <v>39670078</v>
      </c>
      <c r="K67" s="47"/>
      <c r="L67" s="47" t="s">
        <v>486</v>
      </c>
      <c r="M67" s="47">
        <v>39927667</v>
      </c>
      <c r="N67" s="47"/>
      <c r="O67" s="47"/>
      <c r="P67" s="47"/>
      <c r="Q67" s="47"/>
      <c r="R67" s="47"/>
      <c r="S67" s="47"/>
      <c r="T67" s="47"/>
      <c r="U67" s="47"/>
      <c r="V67" s="47"/>
      <c r="W67" s="49">
        <v>42327</v>
      </c>
      <c r="X67" s="46" t="s">
        <v>576</v>
      </c>
      <c r="Y67" s="47">
        <v>2015</v>
      </c>
      <c r="Z67" s="50">
        <v>43789</v>
      </c>
      <c r="AA67" s="50">
        <v>44520</v>
      </c>
      <c r="AB67" s="47"/>
      <c r="AC67" s="47"/>
    </row>
    <row r="68" spans="1:30" ht="30" customHeight="1" x14ac:dyDescent="0.2">
      <c r="A68" s="4">
        <v>64</v>
      </c>
      <c r="B68" s="42" t="s">
        <v>114</v>
      </c>
      <c r="C68" s="43" t="s">
        <v>115</v>
      </c>
      <c r="D68" s="44" t="s">
        <v>682</v>
      </c>
      <c r="E68" s="45" t="s">
        <v>3</v>
      </c>
      <c r="F68" s="47" t="s">
        <v>708</v>
      </c>
      <c r="G68" s="47" t="s">
        <v>708</v>
      </c>
      <c r="H68" s="47" t="s">
        <v>708</v>
      </c>
      <c r="I68" s="47" t="s">
        <v>586</v>
      </c>
      <c r="J68" s="47">
        <v>36998000</v>
      </c>
      <c r="K68" s="47"/>
      <c r="L68" s="47" t="s">
        <v>487</v>
      </c>
      <c r="M68" s="47">
        <v>66641016</v>
      </c>
      <c r="N68" s="47"/>
      <c r="O68" s="47"/>
      <c r="P68" s="47"/>
      <c r="Q68" s="47"/>
      <c r="R68" s="47"/>
      <c r="S68" s="47"/>
      <c r="T68" s="47"/>
      <c r="U68" s="47"/>
      <c r="V68" s="47"/>
      <c r="W68" s="49">
        <v>42782</v>
      </c>
      <c r="X68" s="46" t="s">
        <v>578</v>
      </c>
      <c r="Y68" s="47">
        <v>2017</v>
      </c>
      <c r="Z68" s="50">
        <v>43513</v>
      </c>
      <c r="AA68" s="50">
        <v>44244</v>
      </c>
      <c r="AB68" s="47" t="s">
        <v>600</v>
      </c>
      <c r="AC68" s="47"/>
    </row>
    <row r="69" spans="1:30" ht="30" customHeight="1" x14ac:dyDescent="0.2">
      <c r="A69" s="4">
        <v>65</v>
      </c>
      <c r="B69" s="42" t="s">
        <v>120</v>
      </c>
      <c r="C69" s="43" t="s">
        <v>121</v>
      </c>
      <c r="D69" s="44" t="s">
        <v>682</v>
      </c>
      <c r="E69" s="45" t="s">
        <v>3</v>
      </c>
      <c r="F69" s="47" t="s">
        <v>708</v>
      </c>
      <c r="G69" s="47" t="s">
        <v>708</v>
      </c>
      <c r="H69" s="48" t="s">
        <v>493</v>
      </c>
      <c r="I69" s="47" t="s">
        <v>494</v>
      </c>
      <c r="J69" s="47">
        <v>32207971</v>
      </c>
      <c r="K69" s="47"/>
      <c r="L69" s="47" t="s">
        <v>494</v>
      </c>
      <c r="M69" s="47">
        <v>32207971</v>
      </c>
      <c r="N69" s="47"/>
      <c r="O69" s="47"/>
      <c r="P69" s="47"/>
      <c r="Q69" s="47"/>
      <c r="R69" s="47"/>
      <c r="S69" s="47"/>
      <c r="T69" s="47"/>
      <c r="U69" s="47"/>
      <c r="V69" s="47"/>
      <c r="W69" s="49">
        <v>44049</v>
      </c>
      <c r="X69" s="46" t="s">
        <v>581</v>
      </c>
      <c r="Y69" s="47">
        <v>2020</v>
      </c>
      <c r="Z69" s="50">
        <v>44050</v>
      </c>
      <c r="AA69" s="50">
        <v>44780</v>
      </c>
      <c r="AB69" s="47" t="s">
        <v>603</v>
      </c>
      <c r="AC69" s="47"/>
    </row>
    <row r="70" spans="1:30" ht="30" customHeight="1" x14ac:dyDescent="0.2">
      <c r="A70" s="4">
        <v>66</v>
      </c>
      <c r="B70" s="42" t="s">
        <v>100</v>
      </c>
      <c r="C70" s="43" t="s">
        <v>469</v>
      </c>
      <c r="D70" s="44" t="s">
        <v>682</v>
      </c>
      <c r="E70" s="45" t="s">
        <v>3</v>
      </c>
      <c r="F70" s="47">
        <v>100</v>
      </c>
      <c r="G70" s="47">
        <v>17254244</v>
      </c>
      <c r="H70" s="57" t="s">
        <v>684</v>
      </c>
      <c r="I70" s="47" t="s">
        <v>683</v>
      </c>
      <c r="J70" s="47">
        <v>33330253</v>
      </c>
      <c r="K70" s="47"/>
      <c r="L70" s="47" t="s">
        <v>708</v>
      </c>
      <c r="M70" s="47" t="s">
        <v>708</v>
      </c>
      <c r="N70" s="47"/>
      <c r="O70" s="47"/>
      <c r="P70" s="47"/>
      <c r="Q70" s="47"/>
      <c r="R70" s="47"/>
      <c r="S70" s="47"/>
      <c r="T70" s="47"/>
      <c r="U70" s="47"/>
      <c r="V70" s="47"/>
      <c r="W70" s="49">
        <v>42327</v>
      </c>
      <c r="X70" s="46" t="s">
        <v>570</v>
      </c>
      <c r="Y70" s="47">
        <v>2020</v>
      </c>
      <c r="Z70" s="50">
        <v>44520</v>
      </c>
      <c r="AA70" s="50">
        <v>45250</v>
      </c>
      <c r="AB70" s="47" t="s">
        <v>593</v>
      </c>
      <c r="AC70" s="47"/>
    </row>
    <row r="71" spans="1:30" ht="30" customHeight="1" x14ac:dyDescent="0.2">
      <c r="A71" s="4">
        <v>67</v>
      </c>
      <c r="B71" s="12" t="s">
        <v>689</v>
      </c>
      <c r="C71" s="13" t="s">
        <v>690</v>
      </c>
      <c r="D71" s="15" t="s">
        <v>614</v>
      </c>
      <c r="E71" s="14" t="s">
        <v>2</v>
      </c>
      <c r="F71" s="7">
        <v>100</v>
      </c>
      <c r="G71" s="7">
        <v>17490333</v>
      </c>
      <c r="H71" s="65" t="s">
        <v>645</v>
      </c>
      <c r="I71" s="15" t="s">
        <v>653</v>
      </c>
      <c r="J71" s="7">
        <v>39791111</v>
      </c>
      <c r="K71" s="7"/>
      <c r="L71" s="7" t="s">
        <v>222</v>
      </c>
      <c r="M71" s="7">
        <v>33221002</v>
      </c>
      <c r="N71" s="7" t="s">
        <v>223</v>
      </c>
      <c r="O71" s="7">
        <v>38388308</v>
      </c>
      <c r="P71" s="7" t="s">
        <v>224</v>
      </c>
      <c r="Q71" s="7">
        <v>38388308</v>
      </c>
      <c r="R71" s="7">
        <v>539</v>
      </c>
      <c r="S71" s="7">
        <v>7908</v>
      </c>
      <c r="T71" s="7">
        <v>579</v>
      </c>
      <c r="U71" s="7" t="s">
        <v>225</v>
      </c>
      <c r="V71" s="7"/>
      <c r="W71" s="59" t="s">
        <v>548</v>
      </c>
      <c r="X71" s="16" t="s">
        <v>221</v>
      </c>
      <c r="Y71" s="7">
        <v>2017</v>
      </c>
      <c r="Z71" s="52" t="s">
        <v>549</v>
      </c>
      <c r="AA71" s="7" t="s">
        <v>550</v>
      </c>
      <c r="AB71" s="7" t="s">
        <v>354</v>
      </c>
      <c r="AC71" s="7">
        <v>3</v>
      </c>
      <c r="AD71" s="64" t="s">
        <v>691</v>
      </c>
    </row>
    <row r="72" spans="1:30" ht="37.5" customHeight="1" x14ac:dyDescent="0.2">
      <c r="A72" s="4">
        <v>68</v>
      </c>
      <c r="B72" s="13" t="s">
        <v>654</v>
      </c>
      <c r="C72" s="13" t="s">
        <v>655</v>
      </c>
      <c r="D72" s="15" t="s">
        <v>614</v>
      </c>
      <c r="E72" s="14" t="s">
        <v>3</v>
      </c>
      <c r="F72" s="7">
        <v>90</v>
      </c>
      <c r="G72" s="15">
        <v>17592009</v>
      </c>
      <c r="H72" s="66" t="s">
        <v>659</v>
      </c>
      <c r="I72" s="67" t="s">
        <v>656</v>
      </c>
      <c r="J72" s="15">
        <v>39894253</v>
      </c>
      <c r="K72" s="15"/>
      <c r="L72" s="67" t="s">
        <v>708</v>
      </c>
      <c r="M72" s="7" t="s">
        <v>708</v>
      </c>
      <c r="N72" s="7" t="s">
        <v>656</v>
      </c>
      <c r="O72" s="7">
        <v>39894253</v>
      </c>
      <c r="P72" s="7"/>
      <c r="Q72" s="15"/>
      <c r="R72" s="7"/>
      <c r="S72" s="7"/>
      <c r="T72" s="7"/>
      <c r="U72" s="7"/>
      <c r="V72" s="7"/>
      <c r="W72" s="51"/>
      <c r="X72" s="16"/>
      <c r="Y72" s="7">
        <v>2024</v>
      </c>
      <c r="Z72" s="7"/>
      <c r="AA72" s="7"/>
      <c r="AB72" s="7" t="s">
        <v>670</v>
      </c>
      <c r="AC72" s="7"/>
    </row>
    <row r="73" spans="1:30" ht="30" customHeight="1" x14ac:dyDescent="0.2">
      <c r="A73" s="4">
        <v>69</v>
      </c>
      <c r="B73" s="12" t="s">
        <v>116</v>
      </c>
      <c r="C73" s="13" t="s">
        <v>117</v>
      </c>
      <c r="D73" s="15" t="s">
        <v>614</v>
      </c>
      <c r="E73" s="14" t="s">
        <v>2</v>
      </c>
      <c r="F73" s="7" t="s">
        <v>708</v>
      </c>
      <c r="G73" s="7" t="s">
        <v>708</v>
      </c>
      <c r="H73" s="53" t="s">
        <v>488</v>
      </c>
      <c r="I73" s="7" t="s">
        <v>489</v>
      </c>
      <c r="J73" s="7">
        <v>39220844</v>
      </c>
      <c r="K73" s="7"/>
      <c r="L73" s="7" t="s">
        <v>489</v>
      </c>
      <c r="M73" s="7">
        <v>39220844</v>
      </c>
      <c r="N73" s="7"/>
      <c r="O73" s="7"/>
      <c r="P73" s="7"/>
      <c r="Q73" s="7"/>
      <c r="R73" s="7"/>
      <c r="S73" s="7"/>
      <c r="T73" s="7"/>
      <c r="U73" s="7"/>
      <c r="V73" s="7"/>
      <c r="W73" s="51">
        <v>43118</v>
      </c>
      <c r="X73" s="16" t="s">
        <v>579</v>
      </c>
      <c r="Y73" s="7">
        <v>2017</v>
      </c>
      <c r="Z73" s="52">
        <v>43849</v>
      </c>
      <c r="AA73" s="52">
        <v>44580</v>
      </c>
      <c r="AB73" s="7" t="s">
        <v>601</v>
      </c>
      <c r="AC73" s="7"/>
    </row>
    <row r="74" spans="1:30" ht="30" customHeight="1" x14ac:dyDescent="0.2">
      <c r="A74" s="4">
        <v>70</v>
      </c>
      <c r="B74" s="12" t="s">
        <v>137</v>
      </c>
      <c r="C74" s="13" t="s">
        <v>138</v>
      </c>
      <c r="D74" s="15" t="s">
        <v>614</v>
      </c>
      <c r="E74" s="14" t="s">
        <v>3</v>
      </c>
      <c r="F74" s="7" t="s">
        <v>708</v>
      </c>
      <c r="G74" s="7">
        <v>17794708</v>
      </c>
      <c r="H74" s="65" t="s">
        <v>363</v>
      </c>
      <c r="I74" s="7" t="s">
        <v>364</v>
      </c>
      <c r="J74" s="7">
        <v>38899340</v>
      </c>
      <c r="K74" s="7"/>
      <c r="L74" s="7" t="s">
        <v>364</v>
      </c>
      <c r="M74" s="7">
        <v>38899340</v>
      </c>
      <c r="N74" s="7" t="s">
        <v>618</v>
      </c>
      <c r="O74" s="7">
        <v>39600854</v>
      </c>
      <c r="P74" s="7"/>
      <c r="Q74" s="7"/>
      <c r="R74" s="7"/>
      <c r="S74" s="7"/>
      <c r="T74" s="7"/>
      <c r="U74" s="7"/>
      <c r="V74" s="7"/>
      <c r="W74" s="14"/>
      <c r="X74" s="16"/>
      <c r="Y74" s="7">
        <v>2015</v>
      </c>
      <c r="Z74" s="7"/>
      <c r="AA74" s="7"/>
      <c r="AB74" s="7"/>
      <c r="AC74" s="7"/>
    </row>
    <row r="75" spans="1:30" ht="47.25" customHeight="1" x14ac:dyDescent="0.2">
      <c r="A75" s="4">
        <v>71</v>
      </c>
      <c r="B75" s="12" t="s">
        <v>28</v>
      </c>
      <c r="C75" s="13" t="s">
        <v>29</v>
      </c>
      <c r="D75" s="15" t="s">
        <v>614</v>
      </c>
      <c r="E75" s="14" t="s">
        <v>3</v>
      </c>
      <c r="F75" s="7">
        <v>55</v>
      </c>
      <c r="G75" s="15" t="s">
        <v>310</v>
      </c>
      <c r="H75" s="65" t="s">
        <v>311</v>
      </c>
      <c r="I75" s="7" t="s">
        <v>312</v>
      </c>
      <c r="J75" s="7">
        <v>39633134</v>
      </c>
      <c r="K75" s="7"/>
      <c r="L75" s="7" t="s">
        <v>312</v>
      </c>
      <c r="M75" s="7">
        <v>39633134</v>
      </c>
      <c r="N75" s="15" t="s">
        <v>313</v>
      </c>
      <c r="O75" s="7">
        <v>36866068</v>
      </c>
      <c r="P75" s="15" t="s">
        <v>314</v>
      </c>
      <c r="Q75" s="7">
        <v>33084959</v>
      </c>
      <c r="R75" s="7"/>
      <c r="S75" s="7"/>
      <c r="T75" s="7"/>
      <c r="U75" s="7"/>
      <c r="V75" s="7"/>
      <c r="W75" s="59">
        <v>42042</v>
      </c>
      <c r="X75" s="16" t="s">
        <v>520</v>
      </c>
      <c r="Y75" s="7">
        <v>2015</v>
      </c>
      <c r="Z75" s="52">
        <v>44262</v>
      </c>
      <c r="AA75" s="52">
        <v>44992</v>
      </c>
      <c r="AB75" s="7" t="s">
        <v>309</v>
      </c>
      <c r="AC75" s="7">
        <v>5</v>
      </c>
    </row>
    <row r="76" spans="1:30" ht="30" customHeight="1" x14ac:dyDescent="0.2">
      <c r="A76" s="4">
        <v>72</v>
      </c>
      <c r="B76" s="12" t="s">
        <v>722</v>
      </c>
      <c r="C76" s="13" t="s">
        <v>723</v>
      </c>
      <c r="D76" s="15" t="s">
        <v>614</v>
      </c>
      <c r="E76" s="14" t="s">
        <v>2</v>
      </c>
      <c r="F76" s="7">
        <v>68</v>
      </c>
      <c r="G76" s="7">
        <v>17718070</v>
      </c>
      <c r="H76" s="53" t="s">
        <v>162</v>
      </c>
      <c r="I76" s="15" t="s">
        <v>163</v>
      </c>
      <c r="J76" s="7">
        <v>39603332</v>
      </c>
      <c r="K76" s="7"/>
      <c r="L76" s="7" t="s">
        <v>166</v>
      </c>
      <c r="M76" s="7">
        <v>66309901</v>
      </c>
      <c r="N76" s="7" t="s">
        <v>164</v>
      </c>
      <c r="O76" s="7">
        <v>33919299</v>
      </c>
      <c r="P76" s="7"/>
      <c r="Q76" s="7"/>
      <c r="R76" s="7"/>
      <c r="S76" s="7"/>
      <c r="T76" s="7"/>
      <c r="U76" s="7"/>
      <c r="V76" s="7"/>
      <c r="W76" s="59">
        <v>42100</v>
      </c>
      <c r="X76" s="16" t="s">
        <v>521</v>
      </c>
      <c r="Y76" s="7">
        <v>2015</v>
      </c>
      <c r="Z76" s="52">
        <v>44322</v>
      </c>
      <c r="AA76" s="52">
        <v>45052</v>
      </c>
      <c r="AB76" s="7" t="s">
        <v>315</v>
      </c>
      <c r="AC76" s="7">
        <v>5</v>
      </c>
      <c r="AD76" s="64" t="s">
        <v>724</v>
      </c>
    </row>
    <row r="77" spans="1:30" ht="30" customHeight="1" x14ac:dyDescent="0.2">
      <c r="A77" s="4">
        <v>73</v>
      </c>
      <c r="B77" s="12" t="s">
        <v>143</v>
      </c>
      <c r="C77" s="13" t="s">
        <v>144</v>
      </c>
      <c r="D77" s="15" t="s">
        <v>614</v>
      </c>
      <c r="E77" s="14" t="s">
        <v>2</v>
      </c>
      <c r="F77" s="7" t="s">
        <v>708</v>
      </c>
      <c r="G77" s="7" t="s">
        <v>708</v>
      </c>
      <c r="H77" s="7" t="s">
        <v>708</v>
      </c>
      <c r="I77" s="7" t="s">
        <v>708</v>
      </c>
      <c r="J77" s="7" t="s">
        <v>708</v>
      </c>
      <c r="K77" s="7"/>
      <c r="L77" s="7" t="s">
        <v>708</v>
      </c>
      <c r="M77" s="7" t="s">
        <v>708</v>
      </c>
      <c r="N77" s="7"/>
      <c r="O77" s="7"/>
      <c r="P77" s="7"/>
      <c r="Q77" s="7"/>
      <c r="R77" s="7"/>
      <c r="S77" s="7"/>
      <c r="T77" s="7"/>
      <c r="U77" s="7"/>
      <c r="V77" s="7"/>
      <c r="W77" s="14"/>
      <c r="X77" s="16"/>
      <c r="Y77" s="7">
        <v>2015</v>
      </c>
      <c r="Z77" s="7"/>
      <c r="AA77" s="7"/>
      <c r="AB77" s="7"/>
      <c r="AC77" s="7"/>
    </row>
    <row r="78" spans="1:30" ht="30" customHeight="1" x14ac:dyDescent="0.2">
      <c r="A78" s="4">
        <v>74</v>
      </c>
      <c r="B78" s="12" t="s">
        <v>147</v>
      </c>
      <c r="C78" s="13" t="s">
        <v>148</v>
      </c>
      <c r="D78" s="15" t="s">
        <v>614</v>
      </c>
      <c r="E78" s="14" t="s">
        <v>3</v>
      </c>
      <c r="F78" s="7" t="s">
        <v>708</v>
      </c>
      <c r="G78" s="7" t="s">
        <v>708</v>
      </c>
      <c r="H78" s="7" t="s">
        <v>708</v>
      </c>
      <c r="I78" s="7" t="s">
        <v>708</v>
      </c>
      <c r="J78" s="7" t="s">
        <v>708</v>
      </c>
      <c r="K78" s="7"/>
      <c r="L78" s="7" t="s">
        <v>708</v>
      </c>
      <c r="M78" s="7" t="s">
        <v>708</v>
      </c>
      <c r="N78" s="7"/>
      <c r="O78" s="7"/>
      <c r="P78" s="7"/>
      <c r="Q78" s="7"/>
      <c r="R78" s="7"/>
      <c r="S78" s="7"/>
      <c r="T78" s="7"/>
      <c r="U78" s="7"/>
      <c r="V78" s="7"/>
      <c r="W78" s="14"/>
      <c r="X78" s="16"/>
      <c r="Y78" s="7">
        <v>2016</v>
      </c>
      <c r="Z78" s="7"/>
      <c r="AA78" s="7"/>
      <c r="AB78" s="7"/>
      <c r="AC78" s="7"/>
    </row>
    <row r="79" spans="1:30" ht="30" customHeight="1" x14ac:dyDescent="0.2">
      <c r="A79" s="4">
        <v>75</v>
      </c>
      <c r="B79" s="12" t="s">
        <v>118</v>
      </c>
      <c r="C79" s="13" t="s">
        <v>119</v>
      </c>
      <c r="D79" s="15" t="s">
        <v>614</v>
      </c>
      <c r="E79" s="14" t="s">
        <v>3</v>
      </c>
      <c r="F79" s="7" t="s">
        <v>708</v>
      </c>
      <c r="G79" s="7" t="s">
        <v>708</v>
      </c>
      <c r="H79" s="53" t="s">
        <v>491</v>
      </c>
      <c r="I79" s="7" t="s">
        <v>492</v>
      </c>
      <c r="J79" s="7">
        <v>39417575</v>
      </c>
      <c r="K79" s="7"/>
      <c r="L79" s="7" t="s">
        <v>708</v>
      </c>
      <c r="M79" s="7" t="s">
        <v>708</v>
      </c>
      <c r="N79" s="7" t="s">
        <v>619</v>
      </c>
      <c r="O79" s="7">
        <v>39452661</v>
      </c>
      <c r="P79" s="7"/>
      <c r="Q79" s="7"/>
      <c r="R79" s="7"/>
      <c r="S79" s="7"/>
      <c r="T79" s="7"/>
      <c r="U79" s="7"/>
      <c r="V79" s="7"/>
      <c r="W79" s="51">
        <v>43391</v>
      </c>
      <c r="X79" s="16" t="s">
        <v>580</v>
      </c>
      <c r="Y79" s="7" t="s">
        <v>708</v>
      </c>
      <c r="Z79" s="52">
        <v>44123</v>
      </c>
      <c r="AA79" s="52">
        <v>44853</v>
      </c>
      <c r="AB79" s="7" t="s">
        <v>602</v>
      </c>
      <c r="AC79" s="7"/>
    </row>
    <row r="80" spans="1:30" ht="30" customHeight="1" x14ac:dyDescent="0.2">
      <c r="A80" s="4">
        <v>76</v>
      </c>
      <c r="B80" s="12" t="s">
        <v>145</v>
      </c>
      <c r="C80" s="13" t="s">
        <v>146</v>
      </c>
      <c r="D80" s="15" t="s">
        <v>614</v>
      </c>
      <c r="E80" s="14" t="s">
        <v>2</v>
      </c>
      <c r="F80" s="7">
        <v>40</v>
      </c>
      <c r="G80" s="7">
        <v>77199123</v>
      </c>
      <c r="H80" s="7" t="s">
        <v>392</v>
      </c>
      <c r="I80" s="7" t="s">
        <v>394</v>
      </c>
      <c r="J80" s="15" t="s">
        <v>508</v>
      </c>
      <c r="K80" s="15"/>
      <c r="L80" s="7" t="s">
        <v>395</v>
      </c>
      <c r="M80" s="7">
        <v>36743678</v>
      </c>
      <c r="N80" s="7" t="s">
        <v>395</v>
      </c>
      <c r="O80" s="7">
        <v>36743678</v>
      </c>
      <c r="P80" s="7"/>
      <c r="Q80" s="15"/>
      <c r="R80" s="7"/>
      <c r="S80" s="7"/>
      <c r="T80" s="7"/>
      <c r="U80" s="7"/>
      <c r="V80" s="7"/>
      <c r="W80" s="51">
        <v>42404</v>
      </c>
      <c r="X80" s="16" t="s">
        <v>583</v>
      </c>
      <c r="Y80" s="7">
        <v>2016</v>
      </c>
      <c r="Z80" s="52">
        <v>44597</v>
      </c>
      <c r="AA80" s="52">
        <v>45327</v>
      </c>
      <c r="AB80" s="7"/>
      <c r="AC80" s="7">
        <v>2</v>
      </c>
    </row>
    <row r="81" spans="1:29" ht="30" customHeight="1" x14ac:dyDescent="0.2">
      <c r="A81" s="4">
        <v>77</v>
      </c>
      <c r="B81" s="12" t="s">
        <v>122</v>
      </c>
      <c r="C81" s="13" t="s">
        <v>50</v>
      </c>
      <c r="D81" s="15" t="s">
        <v>614</v>
      </c>
      <c r="E81" s="14" t="s">
        <v>3</v>
      </c>
      <c r="F81" s="7" t="s">
        <v>708</v>
      </c>
      <c r="G81" s="7">
        <v>17251123</v>
      </c>
      <c r="H81" s="7" t="s">
        <v>708</v>
      </c>
      <c r="I81" s="7" t="s">
        <v>708</v>
      </c>
      <c r="J81" s="7" t="s">
        <v>708</v>
      </c>
      <c r="K81" s="7"/>
      <c r="L81" s="7" t="s">
        <v>708</v>
      </c>
      <c r="M81" s="7" t="s">
        <v>708</v>
      </c>
      <c r="N81" s="7" t="s">
        <v>619</v>
      </c>
      <c r="O81" s="7">
        <v>39452661</v>
      </c>
      <c r="P81" s="7"/>
      <c r="Q81" s="7"/>
      <c r="R81" s="7"/>
      <c r="S81" s="7"/>
      <c r="T81" s="7"/>
      <c r="U81" s="7"/>
      <c r="V81" s="7"/>
      <c r="W81" s="14"/>
      <c r="X81" s="16"/>
      <c r="Y81" s="7">
        <v>2015</v>
      </c>
      <c r="Z81" s="7"/>
      <c r="AA81" s="7"/>
      <c r="AB81" s="7"/>
      <c r="AC81" s="7"/>
    </row>
    <row r="82" spans="1:29" ht="30" customHeight="1" x14ac:dyDescent="0.2">
      <c r="A82" s="4">
        <v>78</v>
      </c>
      <c r="B82" s="12" t="s">
        <v>123</v>
      </c>
      <c r="C82" s="13" t="s">
        <v>124</v>
      </c>
      <c r="D82" s="15" t="s">
        <v>614</v>
      </c>
      <c r="E82" s="14" t="s">
        <v>6</v>
      </c>
      <c r="F82" s="7" t="s">
        <v>708</v>
      </c>
      <c r="G82" s="7">
        <v>39126904</v>
      </c>
      <c r="H82" s="7" t="s">
        <v>708</v>
      </c>
      <c r="I82" s="7" t="s">
        <v>708</v>
      </c>
      <c r="J82" s="7" t="s">
        <v>708</v>
      </c>
      <c r="K82" s="7"/>
      <c r="L82" s="7" t="s">
        <v>708</v>
      </c>
      <c r="M82" s="7" t="s">
        <v>708</v>
      </c>
      <c r="N82" s="7" t="s">
        <v>620</v>
      </c>
      <c r="O82" s="7"/>
      <c r="P82" s="7"/>
      <c r="Q82" s="7"/>
      <c r="R82" s="7"/>
      <c r="S82" s="7"/>
      <c r="T82" s="7"/>
      <c r="U82" s="7"/>
      <c r="V82" s="7"/>
      <c r="W82" s="14"/>
      <c r="X82" s="16"/>
      <c r="Y82" s="7">
        <v>2015</v>
      </c>
      <c r="Z82" s="7"/>
      <c r="AA82" s="7"/>
      <c r="AB82" s="7"/>
      <c r="AC82" s="7"/>
    </row>
    <row r="83" spans="1:29" ht="30" customHeight="1" x14ac:dyDescent="0.2">
      <c r="A83" s="4">
        <v>79</v>
      </c>
      <c r="B83" s="12" t="s">
        <v>125</v>
      </c>
      <c r="C83" s="13" t="s">
        <v>126</v>
      </c>
      <c r="D83" s="15" t="s">
        <v>614</v>
      </c>
      <c r="E83" s="14" t="s">
        <v>2</v>
      </c>
      <c r="F83" s="7" t="s">
        <v>708</v>
      </c>
      <c r="G83" s="7" t="s">
        <v>708</v>
      </c>
      <c r="H83" s="7" t="s">
        <v>708</v>
      </c>
      <c r="I83" s="7" t="s">
        <v>708</v>
      </c>
      <c r="J83" s="7" t="s">
        <v>708</v>
      </c>
      <c r="K83" s="7"/>
      <c r="L83" s="7" t="s">
        <v>708</v>
      </c>
      <c r="M83" s="7" t="s">
        <v>708</v>
      </c>
      <c r="N83" s="7" t="s">
        <v>621</v>
      </c>
      <c r="O83" s="7">
        <v>39139905</v>
      </c>
      <c r="P83" s="7"/>
      <c r="Q83" s="7"/>
      <c r="R83" s="7"/>
      <c r="S83" s="7"/>
      <c r="T83" s="7"/>
      <c r="U83" s="7"/>
      <c r="V83" s="7"/>
      <c r="W83" s="14"/>
      <c r="X83" s="16"/>
      <c r="Y83" s="7">
        <v>2018</v>
      </c>
      <c r="Z83" s="7"/>
      <c r="AA83" s="7"/>
      <c r="AB83" s="7"/>
      <c r="AC83" s="7"/>
    </row>
    <row r="84" spans="1:29" ht="30" customHeight="1" x14ac:dyDescent="0.2">
      <c r="A84" s="4">
        <v>80</v>
      </c>
      <c r="B84" s="12" t="s">
        <v>127</v>
      </c>
      <c r="C84" s="13" t="s">
        <v>128</v>
      </c>
      <c r="D84" s="15" t="s">
        <v>614</v>
      </c>
      <c r="E84" s="14" t="s">
        <v>3</v>
      </c>
      <c r="F84" s="7" t="s">
        <v>708</v>
      </c>
      <c r="G84" s="7">
        <v>17253541</v>
      </c>
      <c r="H84" s="7" t="s">
        <v>708</v>
      </c>
      <c r="I84" s="7" t="s">
        <v>708</v>
      </c>
      <c r="J84" s="7" t="s">
        <v>708</v>
      </c>
      <c r="K84" s="7"/>
      <c r="L84" s="7" t="s">
        <v>708</v>
      </c>
      <c r="M84" s="7" t="s">
        <v>708</v>
      </c>
      <c r="N84" s="7" t="s">
        <v>622</v>
      </c>
      <c r="O84" s="7">
        <v>33091222</v>
      </c>
      <c r="P84" s="7"/>
      <c r="Q84" s="7"/>
      <c r="R84" s="7"/>
      <c r="S84" s="7"/>
      <c r="T84" s="7"/>
      <c r="U84" s="7"/>
      <c r="V84" s="7"/>
      <c r="W84" s="14"/>
      <c r="X84" s="16"/>
      <c r="Y84" s="7">
        <v>2015</v>
      </c>
      <c r="Z84" s="7"/>
      <c r="AA84" s="7"/>
      <c r="AB84" s="7"/>
      <c r="AC84" s="7"/>
    </row>
    <row r="85" spans="1:29" ht="30" customHeight="1" x14ac:dyDescent="0.2">
      <c r="A85" s="4">
        <v>81</v>
      </c>
      <c r="B85" s="12" t="s">
        <v>129</v>
      </c>
      <c r="C85" s="13" t="s">
        <v>130</v>
      </c>
      <c r="D85" s="15" t="s">
        <v>614</v>
      </c>
      <c r="E85" s="14" t="s">
        <v>2</v>
      </c>
      <c r="F85" s="7" t="s">
        <v>708</v>
      </c>
      <c r="G85" s="7">
        <v>13631043</v>
      </c>
      <c r="H85" s="7" t="s">
        <v>708</v>
      </c>
      <c r="I85" s="7" t="s">
        <v>708</v>
      </c>
      <c r="J85" s="7" t="s">
        <v>708</v>
      </c>
      <c r="K85" s="7"/>
      <c r="L85" s="7" t="s">
        <v>708</v>
      </c>
      <c r="M85" s="7" t="s">
        <v>708</v>
      </c>
      <c r="N85" s="7" t="s">
        <v>623</v>
      </c>
      <c r="O85" s="7">
        <v>36626683</v>
      </c>
      <c r="P85" s="7"/>
      <c r="Q85" s="7"/>
      <c r="R85" s="7"/>
      <c r="S85" s="7"/>
      <c r="T85" s="7"/>
      <c r="U85" s="7"/>
      <c r="V85" s="7"/>
      <c r="W85" s="14"/>
      <c r="X85" s="16"/>
      <c r="Y85" s="7" t="s">
        <v>708</v>
      </c>
      <c r="Z85" s="7"/>
      <c r="AA85" s="7"/>
      <c r="AB85" s="7"/>
      <c r="AC85" s="7"/>
    </row>
    <row r="86" spans="1:29" ht="30" customHeight="1" x14ac:dyDescent="0.2">
      <c r="A86" s="4">
        <v>82</v>
      </c>
      <c r="B86" s="12" t="s">
        <v>131</v>
      </c>
      <c r="C86" s="13" t="s">
        <v>132</v>
      </c>
      <c r="D86" s="15" t="s">
        <v>614</v>
      </c>
      <c r="E86" s="14" t="s">
        <v>3</v>
      </c>
      <c r="F86" s="7" t="s">
        <v>708</v>
      </c>
      <c r="G86" s="7">
        <v>17402454</v>
      </c>
      <c r="H86" s="7" t="s">
        <v>708</v>
      </c>
      <c r="I86" s="7" t="s">
        <v>708</v>
      </c>
      <c r="J86" s="7" t="s">
        <v>708</v>
      </c>
      <c r="K86" s="7"/>
      <c r="L86" s="7" t="s">
        <v>708</v>
      </c>
      <c r="M86" s="7" t="s">
        <v>708</v>
      </c>
      <c r="N86" s="7" t="s">
        <v>624</v>
      </c>
      <c r="O86" s="7">
        <v>39478767</v>
      </c>
      <c r="P86" s="7"/>
      <c r="Q86" s="7"/>
      <c r="R86" s="7"/>
      <c r="S86" s="7"/>
      <c r="T86" s="7"/>
      <c r="U86" s="7"/>
      <c r="V86" s="7"/>
      <c r="W86" s="14"/>
      <c r="X86" s="16"/>
      <c r="Y86" s="7">
        <v>2015</v>
      </c>
      <c r="Z86" s="7"/>
      <c r="AA86" s="7"/>
      <c r="AB86" s="7"/>
      <c r="AC86" s="7"/>
    </row>
    <row r="87" spans="1:29" ht="30" customHeight="1" x14ac:dyDescent="0.2">
      <c r="A87" s="4">
        <v>83</v>
      </c>
      <c r="B87" s="12" t="s">
        <v>133</v>
      </c>
      <c r="C87" s="13" t="s">
        <v>134</v>
      </c>
      <c r="D87" s="15" t="s">
        <v>614</v>
      </c>
      <c r="E87" s="14" t="s">
        <v>2</v>
      </c>
      <c r="F87" s="7" t="s">
        <v>708</v>
      </c>
      <c r="G87" s="7">
        <v>17611823</v>
      </c>
      <c r="H87" s="7" t="s">
        <v>708</v>
      </c>
      <c r="I87" s="7" t="s">
        <v>708</v>
      </c>
      <c r="J87" s="7" t="s">
        <v>708</v>
      </c>
      <c r="K87" s="7"/>
      <c r="L87" s="7" t="s">
        <v>708</v>
      </c>
      <c r="M87" s="7" t="s">
        <v>708</v>
      </c>
      <c r="N87" s="7" t="s">
        <v>625</v>
      </c>
      <c r="O87" s="7">
        <v>39445697</v>
      </c>
      <c r="P87" s="7"/>
      <c r="Q87" s="7"/>
      <c r="R87" s="7"/>
      <c r="S87" s="7"/>
      <c r="T87" s="7"/>
      <c r="U87" s="7"/>
      <c r="V87" s="7"/>
      <c r="W87" s="14"/>
      <c r="X87" s="16"/>
      <c r="Y87" s="7">
        <v>2013</v>
      </c>
      <c r="Z87" s="7"/>
      <c r="AA87" s="7"/>
      <c r="AB87" s="7"/>
      <c r="AC87" s="7"/>
    </row>
    <row r="88" spans="1:29" ht="30" customHeight="1" x14ac:dyDescent="0.2">
      <c r="A88" s="4">
        <v>84</v>
      </c>
      <c r="B88" s="12" t="s">
        <v>135</v>
      </c>
      <c r="C88" s="13" t="s">
        <v>136</v>
      </c>
      <c r="D88" s="15" t="s">
        <v>614</v>
      </c>
      <c r="E88" s="14" t="s">
        <v>2</v>
      </c>
      <c r="F88" s="7" t="s">
        <v>708</v>
      </c>
      <c r="G88" s="7">
        <v>13613979</v>
      </c>
      <c r="H88" s="7" t="s">
        <v>708</v>
      </c>
      <c r="I88" s="7" t="s">
        <v>708</v>
      </c>
      <c r="J88" s="7" t="s">
        <v>708</v>
      </c>
      <c r="K88" s="7"/>
      <c r="L88" s="7" t="s">
        <v>708</v>
      </c>
      <c r="M88" s="7" t="s">
        <v>708</v>
      </c>
      <c r="N88" s="7"/>
      <c r="O88" s="7"/>
      <c r="P88" s="7"/>
      <c r="Q88" s="7"/>
      <c r="R88" s="7"/>
      <c r="S88" s="7"/>
      <c r="T88" s="7"/>
      <c r="U88" s="7"/>
      <c r="V88" s="7"/>
      <c r="W88" s="14"/>
      <c r="X88" s="16"/>
      <c r="Y88" s="7">
        <v>2015</v>
      </c>
      <c r="Z88" s="7"/>
      <c r="AA88" s="7"/>
      <c r="AB88" s="7"/>
      <c r="AC88" s="7"/>
    </row>
    <row r="89" spans="1:29" ht="30" customHeight="1" x14ac:dyDescent="0.2">
      <c r="A89" s="4">
        <v>85</v>
      </c>
      <c r="B89" s="12" t="s">
        <v>139</v>
      </c>
      <c r="C89" s="13" t="s">
        <v>140</v>
      </c>
      <c r="D89" s="15" t="s">
        <v>614</v>
      </c>
      <c r="E89" s="14" t="s">
        <v>2</v>
      </c>
      <c r="F89" s="7" t="s">
        <v>708</v>
      </c>
      <c r="G89" s="7" t="s">
        <v>708</v>
      </c>
      <c r="H89" s="7" t="s">
        <v>708</v>
      </c>
      <c r="I89" s="7" t="s">
        <v>708</v>
      </c>
      <c r="J89" s="7" t="s">
        <v>708</v>
      </c>
      <c r="K89" s="7"/>
      <c r="L89" s="7" t="s">
        <v>708</v>
      </c>
      <c r="M89" s="7" t="s">
        <v>708</v>
      </c>
      <c r="N89" s="7" t="s">
        <v>626</v>
      </c>
      <c r="O89" s="7">
        <v>36455504</v>
      </c>
      <c r="P89" s="7"/>
      <c r="Q89" s="7"/>
      <c r="R89" s="7"/>
      <c r="S89" s="7"/>
      <c r="T89" s="7"/>
      <c r="U89" s="7"/>
      <c r="V89" s="7"/>
      <c r="W89" s="14"/>
      <c r="X89" s="16"/>
      <c r="Y89" s="7" t="s">
        <v>708</v>
      </c>
      <c r="Z89" s="7"/>
      <c r="AA89" s="7"/>
      <c r="AB89" s="7"/>
      <c r="AC89" s="7"/>
    </row>
    <row r="90" spans="1:29" ht="30" customHeight="1" x14ac:dyDescent="0.2">
      <c r="A90" s="4">
        <v>86</v>
      </c>
      <c r="B90" s="12" t="s">
        <v>141</v>
      </c>
      <c r="C90" s="13" t="s">
        <v>142</v>
      </c>
      <c r="D90" s="15" t="s">
        <v>614</v>
      </c>
      <c r="E90" s="14" t="s">
        <v>3</v>
      </c>
      <c r="F90" s="7" t="s">
        <v>708</v>
      </c>
      <c r="G90" s="7" t="s">
        <v>708</v>
      </c>
      <c r="H90" s="7" t="s">
        <v>708</v>
      </c>
      <c r="I90" s="7" t="s">
        <v>708</v>
      </c>
      <c r="J90" s="7" t="s">
        <v>708</v>
      </c>
      <c r="K90" s="7"/>
      <c r="L90" s="7" t="s">
        <v>708</v>
      </c>
      <c r="M90" s="7" t="s">
        <v>708</v>
      </c>
      <c r="N90" s="7" t="s">
        <v>627</v>
      </c>
      <c r="O90" s="7">
        <v>39777640</v>
      </c>
      <c r="P90" s="7"/>
      <c r="Q90" s="7"/>
      <c r="R90" s="7"/>
      <c r="S90" s="7"/>
      <c r="T90" s="7"/>
      <c r="U90" s="7"/>
      <c r="V90" s="7"/>
      <c r="W90" s="14"/>
      <c r="X90" s="16"/>
      <c r="Y90" s="7">
        <v>2015</v>
      </c>
      <c r="Z90" s="7"/>
      <c r="AA90" s="7"/>
      <c r="AB90" s="7"/>
      <c r="AC90" s="7"/>
    </row>
    <row r="91" spans="1:29" ht="30" customHeight="1" x14ac:dyDescent="0.2">
      <c r="A91" s="4">
        <v>87</v>
      </c>
      <c r="B91" s="12" t="s">
        <v>149</v>
      </c>
      <c r="C91" s="13" t="s">
        <v>150</v>
      </c>
      <c r="D91" s="15" t="s">
        <v>614</v>
      </c>
      <c r="E91" s="14" t="s">
        <v>3</v>
      </c>
      <c r="F91" s="7" t="s">
        <v>708</v>
      </c>
      <c r="G91" s="7" t="s">
        <v>708</v>
      </c>
      <c r="H91" s="7" t="s">
        <v>708</v>
      </c>
      <c r="I91" s="7" t="s">
        <v>708</v>
      </c>
      <c r="J91" s="7" t="s">
        <v>708</v>
      </c>
      <c r="K91" s="7"/>
      <c r="L91" s="7" t="s">
        <v>708</v>
      </c>
      <c r="M91" s="7" t="s">
        <v>708</v>
      </c>
      <c r="N91" s="7" t="s">
        <v>628</v>
      </c>
      <c r="O91" s="7">
        <v>38383868</v>
      </c>
      <c r="P91" s="7"/>
      <c r="Q91" s="7"/>
      <c r="R91" s="7"/>
      <c r="S91" s="7"/>
      <c r="T91" s="7"/>
      <c r="U91" s="7"/>
      <c r="V91" s="7"/>
      <c r="W91" s="14"/>
      <c r="X91" s="16"/>
      <c r="Y91" s="7">
        <v>2016</v>
      </c>
      <c r="Z91" s="7"/>
      <c r="AA91" s="7"/>
      <c r="AB91" s="7"/>
      <c r="AC91" s="7"/>
    </row>
    <row r="92" spans="1:29" ht="30" customHeight="1" x14ac:dyDescent="0.2">
      <c r="A92" s="4">
        <v>88</v>
      </c>
      <c r="B92" s="12" t="s">
        <v>151</v>
      </c>
      <c r="C92" s="13" t="s">
        <v>152</v>
      </c>
      <c r="D92" s="15" t="s">
        <v>614</v>
      </c>
      <c r="E92" s="14" t="s">
        <v>3</v>
      </c>
      <c r="F92" s="7" t="s">
        <v>708</v>
      </c>
      <c r="G92" s="7" t="s">
        <v>708</v>
      </c>
      <c r="H92" s="7" t="s">
        <v>708</v>
      </c>
      <c r="I92" s="7" t="s">
        <v>708</v>
      </c>
      <c r="J92" s="7" t="s">
        <v>708</v>
      </c>
      <c r="K92" s="7"/>
      <c r="L92" s="7" t="s">
        <v>708</v>
      </c>
      <c r="M92" s="7" t="s">
        <v>708</v>
      </c>
      <c r="N92" s="7" t="s">
        <v>629</v>
      </c>
      <c r="O92" s="7">
        <v>33344366</v>
      </c>
      <c r="P92" s="7"/>
      <c r="Q92" s="7"/>
      <c r="R92" s="7"/>
      <c r="S92" s="7"/>
      <c r="T92" s="7"/>
      <c r="U92" s="7"/>
      <c r="V92" s="7"/>
      <c r="W92" s="14"/>
      <c r="X92" s="16"/>
      <c r="Y92" s="7">
        <v>2016</v>
      </c>
      <c r="Z92" s="7"/>
      <c r="AA92" s="7"/>
      <c r="AB92" s="7"/>
      <c r="AC92" s="7"/>
    </row>
    <row r="93" spans="1:29" ht="30" customHeight="1" x14ac:dyDescent="0.2">
      <c r="A93" s="4">
        <v>89</v>
      </c>
      <c r="B93" s="12" t="s">
        <v>153</v>
      </c>
      <c r="C93" s="13" t="s">
        <v>154</v>
      </c>
      <c r="D93" s="15" t="s">
        <v>614</v>
      </c>
      <c r="E93" s="14" t="s">
        <v>2</v>
      </c>
      <c r="F93" s="7" t="s">
        <v>708</v>
      </c>
      <c r="G93" s="7" t="s">
        <v>708</v>
      </c>
      <c r="H93" s="7" t="s">
        <v>708</v>
      </c>
      <c r="I93" s="7" t="s">
        <v>708</v>
      </c>
      <c r="J93" s="7" t="s">
        <v>708</v>
      </c>
      <c r="K93" s="7"/>
      <c r="L93" s="7" t="s">
        <v>708</v>
      </c>
      <c r="M93" s="7" t="s">
        <v>708</v>
      </c>
      <c r="N93" s="7" t="s">
        <v>630</v>
      </c>
      <c r="O93" s="7">
        <v>39469914</v>
      </c>
      <c r="P93" s="7"/>
      <c r="Q93" s="7"/>
      <c r="R93" s="7"/>
      <c r="S93" s="7"/>
      <c r="T93" s="7"/>
      <c r="U93" s="7"/>
      <c r="V93" s="7"/>
      <c r="W93" s="14"/>
      <c r="X93" s="16"/>
      <c r="Y93" s="7">
        <v>2016</v>
      </c>
      <c r="Z93" s="7"/>
      <c r="AA93" s="7"/>
      <c r="AB93" s="7"/>
      <c r="AC93" s="7"/>
    </row>
    <row r="94" spans="1:29" ht="30" customHeight="1" x14ac:dyDescent="0.2">
      <c r="A94" s="4">
        <v>90</v>
      </c>
      <c r="B94" s="12" t="s">
        <v>155</v>
      </c>
      <c r="C94" s="13" t="s">
        <v>156</v>
      </c>
      <c r="D94" s="15" t="s">
        <v>614</v>
      </c>
      <c r="E94" s="14" t="s">
        <v>2</v>
      </c>
      <c r="F94" s="7" t="s">
        <v>708</v>
      </c>
      <c r="G94" s="7" t="s">
        <v>708</v>
      </c>
      <c r="H94" s="7" t="s">
        <v>708</v>
      </c>
      <c r="I94" s="7" t="s">
        <v>708</v>
      </c>
      <c r="J94" s="7" t="s">
        <v>708</v>
      </c>
      <c r="K94" s="7"/>
      <c r="L94" s="7" t="s">
        <v>708</v>
      </c>
      <c r="M94" s="7" t="s">
        <v>708</v>
      </c>
      <c r="N94" s="7" t="s">
        <v>631</v>
      </c>
      <c r="O94" s="7">
        <v>36791109</v>
      </c>
      <c r="P94" s="7"/>
      <c r="Q94" s="7"/>
      <c r="R94" s="7"/>
      <c r="S94" s="7"/>
      <c r="T94" s="7"/>
      <c r="U94" s="7"/>
      <c r="V94" s="7"/>
      <c r="W94" s="14"/>
      <c r="X94" s="16"/>
      <c r="Y94" s="7">
        <v>2018</v>
      </c>
      <c r="Z94" s="7"/>
      <c r="AA94" s="7"/>
      <c r="AB94" s="7"/>
      <c r="AC94" s="7"/>
    </row>
    <row r="95" spans="1:29" ht="24.95" customHeight="1" x14ac:dyDescent="0.2">
      <c r="A95" s="4">
        <v>91</v>
      </c>
      <c r="B95" s="12" t="s">
        <v>157</v>
      </c>
      <c r="C95" s="13" t="s">
        <v>158</v>
      </c>
      <c r="D95" s="15" t="s">
        <v>614</v>
      </c>
      <c r="E95" s="14" t="s">
        <v>2</v>
      </c>
      <c r="F95" s="7" t="s">
        <v>708</v>
      </c>
      <c r="G95" s="7" t="s">
        <v>708</v>
      </c>
      <c r="H95" s="7" t="s">
        <v>708</v>
      </c>
      <c r="I95" s="7" t="s">
        <v>708</v>
      </c>
      <c r="J95" s="7" t="s">
        <v>708</v>
      </c>
      <c r="K95" s="7"/>
      <c r="L95" s="7" t="s">
        <v>708</v>
      </c>
      <c r="M95" s="7" t="s">
        <v>708</v>
      </c>
      <c r="N95" s="7" t="s">
        <v>632</v>
      </c>
      <c r="O95" s="7">
        <v>66914408</v>
      </c>
      <c r="P95" s="7"/>
      <c r="Q95" s="7"/>
      <c r="R95" s="7"/>
      <c r="S95" s="7"/>
      <c r="T95" s="7"/>
      <c r="U95" s="7"/>
      <c r="V95" s="7"/>
      <c r="W95" s="14"/>
      <c r="X95" s="16"/>
      <c r="Y95" s="7">
        <v>2018</v>
      </c>
      <c r="Z95" s="7"/>
      <c r="AA95" s="7"/>
      <c r="AB95" s="7"/>
      <c r="AC95" s="7"/>
    </row>
    <row r="96" spans="1:29" ht="24.95" customHeight="1" thickBot="1" x14ac:dyDescent="0.25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2:4" ht="24.95" customHeight="1" x14ac:dyDescent="0.2">
      <c r="B97" s="73" t="s">
        <v>159</v>
      </c>
      <c r="C97" s="74"/>
      <c r="D97" s="20"/>
    </row>
    <row r="98" spans="2:4" ht="24.95" customHeight="1" x14ac:dyDescent="0.25">
      <c r="B98" s="22" t="s">
        <v>160</v>
      </c>
      <c r="C98" s="8">
        <f>SUM(C99:C101)</f>
        <v>91</v>
      </c>
      <c r="D98" s="19"/>
    </row>
    <row r="99" spans="2:4" ht="24.95" customHeight="1" x14ac:dyDescent="0.25">
      <c r="B99" s="17" t="s">
        <v>3</v>
      </c>
      <c r="C99" s="5">
        <f>COUNTIF(E5:E95,"وطنية")</f>
        <v>46</v>
      </c>
      <c r="D99" s="19"/>
    </row>
    <row r="100" spans="2:4" ht="24.95" customHeight="1" x14ac:dyDescent="0.25">
      <c r="B100" s="17" t="s">
        <v>2</v>
      </c>
      <c r="C100" s="5">
        <f>COUNTIF(E5:E95,"أجنبية")</f>
        <v>43</v>
      </c>
      <c r="D100" s="19"/>
    </row>
    <row r="101" spans="2:4" ht="24.95" customHeight="1" thickBot="1" x14ac:dyDescent="0.3">
      <c r="B101" s="18" t="s">
        <v>6</v>
      </c>
      <c r="C101" s="6">
        <f>COUNTIF(E5:E95,"جاليات")</f>
        <v>2</v>
      </c>
      <c r="D101" s="19"/>
    </row>
    <row r="102" spans="2:4" ht="24.95" customHeight="1" thickBot="1" x14ac:dyDescent="0.25"/>
    <row r="103" spans="2:4" ht="24.95" customHeight="1" x14ac:dyDescent="0.2">
      <c r="B103" s="73" t="s">
        <v>161</v>
      </c>
      <c r="C103" s="74"/>
      <c r="D103" s="20"/>
    </row>
    <row r="104" spans="2:4" ht="24.95" customHeight="1" x14ac:dyDescent="0.25">
      <c r="B104" s="23" t="s">
        <v>4</v>
      </c>
      <c r="C104" s="5">
        <f>COUNTIF(D5:D95,"نشطة")</f>
        <v>61</v>
      </c>
      <c r="D104" s="19"/>
    </row>
    <row r="105" spans="2:4" ht="24.95" customHeight="1" x14ac:dyDescent="0.25">
      <c r="B105" s="24" t="s">
        <v>614</v>
      </c>
      <c r="C105" s="5">
        <f>COUNTIF(D5:D95,"متوقفة عن العمل")</f>
        <v>25</v>
      </c>
      <c r="D105" s="19"/>
    </row>
    <row r="106" spans="2:4" ht="24.95" customHeight="1" x14ac:dyDescent="0.25">
      <c r="B106" s="25" t="s">
        <v>682</v>
      </c>
      <c r="C106" s="5">
        <f>COUNTIF(D5:D95,"تغيير مبنى")</f>
        <v>5</v>
      </c>
      <c r="D106" s="19"/>
    </row>
    <row r="107" spans="2:4" ht="24.95" customHeight="1" thickBot="1" x14ac:dyDescent="0.3">
      <c r="B107" s="41" t="s">
        <v>658</v>
      </c>
      <c r="C107" s="40">
        <f>COUNTIF(D6:D96,"تأجيل دراسة")</f>
        <v>0</v>
      </c>
      <c r="D107" s="19"/>
    </row>
    <row r="108" spans="2:4" ht="24.95" customHeight="1" thickBot="1" x14ac:dyDescent="0.25">
      <c r="D108" s="19"/>
    </row>
    <row r="109" spans="2:4" ht="24.95" customHeight="1" x14ac:dyDescent="0.2">
      <c r="B109" s="73" t="s">
        <v>299</v>
      </c>
      <c r="C109" s="74"/>
    </row>
    <row r="110" spans="2:4" ht="24.95" customHeight="1" x14ac:dyDescent="0.25">
      <c r="B110" s="17" t="s">
        <v>295</v>
      </c>
      <c r="C110" s="5">
        <f>COUNTIF(V5:V95,"محافظة المحرق")</f>
        <v>9</v>
      </c>
      <c r="D110" s="20"/>
    </row>
    <row r="111" spans="2:4" ht="24.95" customHeight="1" x14ac:dyDescent="0.25">
      <c r="B111" s="17" t="s">
        <v>296</v>
      </c>
      <c r="C111" s="5">
        <f>COUNTIF(V5:V95,"محافظة العاصمة")</f>
        <v>19</v>
      </c>
    </row>
    <row r="112" spans="2:4" ht="24.95" customHeight="1" x14ac:dyDescent="0.25">
      <c r="B112" s="17" t="s">
        <v>297</v>
      </c>
      <c r="C112" s="5">
        <f>COUNTIF(V5:V95,"المحافظة الشمالية")</f>
        <v>25</v>
      </c>
    </row>
    <row r="113" spans="2:3" ht="24.95" customHeight="1" thickBot="1" x14ac:dyDescent="0.3">
      <c r="B113" s="18" t="s">
        <v>298</v>
      </c>
      <c r="C113" s="6">
        <f>COUNTIF(V5:V95,"المحافظة الجنوبية")</f>
        <v>8</v>
      </c>
    </row>
    <row r="114" spans="2:3" ht="24.95" customHeight="1" x14ac:dyDescent="0.2">
      <c r="B114" s="21"/>
      <c r="C114" s="21"/>
    </row>
  </sheetData>
  <sortState xmlns:xlrd2="http://schemas.microsoft.com/office/spreadsheetml/2017/richdata2" ref="B6:V95">
    <sortCondition sortBy="cellColor" ref="B6:B95" dxfId="4"/>
    <sortCondition sortBy="cellColor" ref="B6:B95" dxfId="3"/>
    <sortCondition sortBy="cellColor" ref="B6:B95" dxfId="2"/>
    <sortCondition sortBy="cellColor" ref="B6:B95" dxfId="1"/>
    <sortCondition sortBy="cellColor" ref="B6:B95" dxfId="0"/>
  </sortState>
  <mergeCells count="31">
    <mergeCell ref="AC3:AC4"/>
    <mergeCell ref="W3:W4"/>
    <mergeCell ref="X3:X4"/>
    <mergeCell ref="Z3:AA3"/>
    <mergeCell ref="AB3:AB4"/>
    <mergeCell ref="Y3:Y4"/>
    <mergeCell ref="N3:N4"/>
    <mergeCell ref="O3:O4"/>
    <mergeCell ref="U3:U4"/>
    <mergeCell ref="V3:V4"/>
    <mergeCell ref="P3:P4"/>
    <mergeCell ref="Q3:Q4"/>
    <mergeCell ref="R3:R4"/>
    <mergeCell ref="S3:S4"/>
    <mergeCell ref="T3:T4"/>
    <mergeCell ref="I3:I4"/>
    <mergeCell ref="J3:J4"/>
    <mergeCell ref="L3:L4"/>
    <mergeCell ref="K3:K4"/>
    <mergeCell ref="M3:M4"/>
    <mergeCell ref="B97:C97"/>
    <mergeCell ref="B103:C103"/>
    <mergeCell ref="B109:C109"/>
    <mergeCell ref="G3:G4"/>
    <mergeCell ref="H3:H4"/>
    <mergeCell ref="A3:A4"/>
    <mergeCell ref="B3:B4"/>
    <mergeCell ref="C3:C4"/>
    <mergeCell ref="F3:F4"/>
    <mergeCell ref="D3:D4"/>
    <mergeCell ref="E3:E4"/>
  </mergeCells>
  <phoneticPr fontId="4" type="noConversion"/>
  <dataValidations count="4">
    <dataValidation type="list" allowBlank="1" showInputMessage="1" showErrorMessage="1" sqref="W88:W95" xr:uid="{00000000-0002-0000-0000-000000000000}">
      <formula1>$V$6:$V$7</formula1>
    </dataValidation>
    <dataValidation type="list" allowBlank="1" showInputMessage="1" showErrorMessage="1" sqref="E5:E95" xr:uid="{00000000-0002-0000-0000-000001000000}">
      <formula1>$B$99:$B$101</formula1>
    </dataValidation>
    <dataValidation type="list" allowBlank="1" showInputMessage="1" showErrorMessage="1" sqref="V5:V95" xr:uid="{00000000-0002-0000-0000-000002000000}">
      <formula1>$B$110:$B$113</formula1>
    </dataValidation>
    <dataValidation type="list" allowBlank="1" showInputMessage="1" showErrorMessage="1" sqref="D5:D95" xr:uid="{00000000-0002-0000-0000-000003000000}">
      <formula1>$B$104:$B$107</formula1>
    </dataValidation>
  </dataValidations>
  <hyperlinks>
    <hyperlink ref="H76" r:id="rId1" xr:uid="{B60AA97F-07F7-45A4-89EA-D47AB365E7A5}"/>
    <hyperlink ref="H15" r:id="rId2" xr:uid="{D2C69070-AE49-4343-9A34-7F617E112BEF}"/>
    <hyperlink ref="H18" r:id="rId3" xr:uid="{770B02F9-344A-4FDA-A479-6F230B70022B}"/>
    <hyperlink ref="H19" r:id="rId4" xr:uid="{48496A5E-B393-49F4-BB6F-D4AC57422B36}"/>
    <hyperlink ref="H21" r:id="rId5" xr:uid="{A8352801-D590-43FB-9405-3F13C60BBA0E}"/>
    <hyperlink ref="H22" r:id="rId6" xr:uid="{6D560AB0-4014-44B8-B5D3-ADA2D1AB8DA6}"/>
    <hyperlink ref="H24" r:id="rId7" xr:uid="{02FFF2BF-BCE2-48EF-B247-A11B1F4FDBAB}"/>
    <hyperlink ref="H27" r:id="rId8" xr:uid="{B066C915-198D-4F78-A431-455B4ED9F883}"/>
    <hyperlink ref="H30" r:id="rId9" xr:uid="{375C29CE-6BB2-48D3-AE06-2DDD4FE4DE25}"/>
    <hyperlink ref="H31" r:id="rId10" xr:uid="{13D91CD5-EEC7-473D-8328-16A600064D6D}"/>
    <hyperlink ref="H32" r:id="rId11" xr:uid="{D464D1AF-47E7-457C-9C26-A79511700127}"/>
    <hyperlink ref="H38" r:id="rId12" xr:uid="{A425BAEE-B164-4EA8-B1E1-E4571B954AAF}"/>
    <hyperlink ref="H45" r:id="rId13" xr:uid="{C574801C-495C-4DB1-A9A4-0191636AF1C5}"/>
    <hyperlink ref="H48" r:id="rId14" xr:uid="{21D10C92-DFCB-4667-BD12-CBC5C62B3C5D}"/>
    <hyperlink ref="H25" r:id="rId15" xr:uid="{41AC8275-1899-404B-A8E8-2343E857EB16}"/>
    <hyperlink ref="H52" r:id="rId16" xr:uid="{79FAE429-A2EB-45B8-9E23-B27BD1563488}"/>
    <hyperlink ref="H7" r:id="rId17" xr:uid="{BD6E5D6A-B25F-461B-A014-C5928E5F8912}"/>
    <hyperlink ref="H13" r:id="rId18" xr:uid="{AE5CE0AF-2500-4100-9526-313D5AA9377B}"/>
    <hyperlink ref="H16" r:id="rId19" xr:uid="{3BDAF0B5-1E02-4487-94EB-2F8E24B50AE1}"/>
    <hyperlink ref="H35" r:id="rId20" xr:uid="{1432AACC-1245-4F23-9156-0E784199BE2B}"/>
    <hyperlink ref="H39" r:id="rId21" xr:uid="{E6662734-B340-4929-B09F-F6DABF94BBCB}"/>
    <hyperlink ref="H47" r:id="rId22" display="info.kwa@kinderworldbh.com" xr:uid="{794A2B1B-5890-460F-8B82-3AB4119842F8}"/>
    <hyperlink ref="H49" r:id="rId23" xr:uid="{9AFB7887-6970-4497-8D32-F88483CC9D05}"/>
    <hyperlink ref="H51" r:id="rId24" xr:uid="{CE55E773-4BCC-43FF-8D39-AD7D7C8F50A5}"/>
    <hyperlink ref="H53" r:id="rId25" xr:uid="{9DA68B9A-5B14-40E0-B7E4-417365FC4017}"/>
    <hyperlink ref="H54" r:id="rId26" xr:uid="{2F468BDC-BB00-4DAC-B70F-C60128BDBEFB}"/>
    <hyperlink ref="H57" r:id="rId27" xr:uid="{246085F4-053A-417A-9176-E8A8D36AEFC8}"/>
    <hyperlink ref="H11" r:id="rId28" xr:uid="{DBBA47CE-C03F-4BC3-A2BB-7D61D58A5F4D}"/>
    <hyperlink ref="H50" r:id="rId29" xr:uid="{8DF1AB8B-C687-463F-93E7-0375141A3EDD}"/>
    <hyperlink ref="H33" r:id="rId30" xr:uid="{A81734B2-2D07-4A00-95AB-A562867B3BE1}"/>
    <hyperlink ref="H8" r:id="rId31" xr:uid="{9C0FAB1D-15A9-484A-89DD-0D4D4F2C4848}"/>
    <hyperlink ref="H67" r:id="rId32" xr:uid="{781B433B-CA72-4043-B94E-CA94B54F8E48}"/>
    <hyperlink ref="H73" r:id="rId33" xr:uid="{ABA65992-383C-45B2-ACDB-EF941470C12D}"/>
    <hyperlink ref="H79" r:id="rId34" xr:uid="{6039A6A4-0F31-45AC-B10F-1EA28C771E08}"/>
    <hyperlink ref="H69" r:id="rId35" xr:uid="{9C968FD5-C181-4A94-87C4-CBD68F3BC7BD}"/>
    <hyperlink ref="H43" r:id="rId36" xr:uid="{514E946D-CD6A-4B84-A426-0ED1AB185130}"/>
    <hyperlink ref="H12" r:id="rId37" xr:uid="{280CAE1F-FF17-439B-BE73-BB22A212E410}"/>
    <hyperlink ref="H56" r:id="rId38" xr:uid="{F615E852-7E77-4D75-BB44-0410D9554882}"/>
    <hyperlink ref="H59" r:id="rId39" xr:uid="{E6CC4564-3691-4FC6-B35B-2165A7EA728E}"/>
    <hyperlink ref="H20" r:id="rId40" xr:uid="{8B859286-E3A7-4E9A-9607-4B30B3C19CAC}"/>
    <hyperlink ref="H10" r:id="rId41" xr:uid="{E8609126-8799-4987-AF54-8FCA46D73308}"/>
    <hyperlink ref="H75" r:id="rId42" xr:uid="{07C75B5A-4C3E-4C04-9D38-9A5EBC8BA734}"/>
    <hyperlink ref="H44" r:id="rId43" xr:uid="{16731230-16EB-4462-ABF5-5EACE20A4A41}"/>
    <hyperlink ref="H61" r:id="rId44" xr:uid="{92026630-4679-4BD1-AC18-2FE495590F43}"/>
    <hyperlink ref="H62" r:id="rId45" xr:uid="{5595E867-552B-4322-93A9-7644DBB5B2CE}"/>
    <hyperlink ref="H70" r:id="rId46" xr:uid="{DAF4DB98-3F22-4ACC-9F10-B8061C264389}"/>
    <hyperlink ref="H37" r:id="rId47" xr:uid="{BBE16802-BE2B-43C7-854E-7ACBA7B9078C}"/>
    <hyperlink ref="H5" r:id="rId48" xr:uid="{D08D0A16-6973-410C-A2BB-315DBDA4C88A}"/>
    <hyperlink ref="H63" r:id="rId49" xr:uid="{32E20FC1-944A-405D-961B-C9449CBE4C9A}"/>
    <hyperlink ref="H74" r:id="rId50" xr:uid="{43CC1E34-794B-4336-996B-D1414E342FAB}"/>
    <hyperlink ref="H64" r:id="rId51" xr:uid="{F368F5AB-76ED-4B44-9BB5-1FBE5AB38E33}"/>
    <hyperlink ref="H65" r:id="rId52" xr:uid="{F1391E32-B02A-440C-81D2-8F1623529046}"/>
    <hyperlink ref="H72" r:id="rId53" xr:uid="{DBE6BFB5-A498-4BE9-991D-0C949EADAD54}"/>
    <hyperlink ref="H71" r:id="rId54" xr:uid="{84907B15-13CD-49F0-BBAD-5A9E3FBAD087}"/>
  </hyperlinks>
  <pageMargins left="0.7" right="0.7" top="0.75" bottom="0.75" header="0.3" footer="0.3"/>
  <pageSetup paperSize="9" orientation="portrait" r:id="rId55"/>
  <drawing r:id="rId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تواصل - حضانات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 Alahmed</dc:creator>
  <cp:keywords/>
  <dc:description/>
  <cp:lastModifiedBy>Noora Sabri Alahmed</cp:lastModifiedBy>
  <dcterms:created xsi:type="dcterms:W3CDTF">2020-03-25T05:30:04Z</dcterms:created>
  <dcterms:modified xsi:type="dcterms:W3CDTF">2026-03-18T10:52:40Z</dcterms:modified>
  <cp:category/>
</cp:coreProperties>
</file>