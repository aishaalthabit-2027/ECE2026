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5"/>
  <workbookPr/>
  <mc:AlternateContent xmlns:mc="http://schemas.openxmlformats.org/markup-compatibility/2006">
    <mc:Choice Requires="x15">
      <x15ac:absPath xmlns:x15ac="http://schemas.microsoft.com/office/spreadsheetml/2010/11/ac" url="\\manama.moebh.net\STORAGE\042_KINDERGARTEN_DIRECTORATE\TEAM_01_@042\بيانات مؤسسات التعليم المبكر\بيانات عامة + بيانات التواصل\"/>
    </mc:Choice>
  </mc:AlternateContent>
  <xr:revisionPtr revIDLastSave="0" documentId="8_{B88E56B5-4552-3E4C-8ED6-4AF6A2BE3F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تواصل - مؤسسة شاملة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C35" i="1"/>
  <c r="C34" i="1"/>
  <c r="C33" i="1"/>
  <c r="C24" i="1"/>
  <c r="C23" i="1"/>
  <c r="C22" i="1"/>
  <c r="C30" i="1"/>
  <c r="C29" i="1"/>
  <c r="C28" i="1"/>
  <c r="C27" i="1"/>
  <c r="C21" i="1"/>
</calcChain>
</file>

<file path=xl/sharedStrings.xml><?xml version="1.0" encoding="utf-8"?>
<sst xmlns="http://schemas.openxmlformats.org/spreadsheetml/2006/main" count="222" uniqueCount="164">
  <si>
    <t>الهوية</t>
  </si>
  <si>
    <t>الحالة</t>
  </si>
  <si>
    <t>أجنبية</t>
  </si>
  <si>
    <t>وطنية</t>
  </si>
  <si>
    <t>نشطة</t>
  </si>
  <si>
    <t>#</t>
  </si>
  <si>
    <t>جاليات</t>
  </si>
  <si>
    <t>رقم الترخيص</t>
  </si>
  <si>
    <t>تاريخ الترخيص</t>
  </si>
  <si>
    <t>عدد غرف التعلم</t>
  </si>
  <si>
    <t>رقم هاتف الروضة</t>
  </si>
  <si>
    <t>E-mail</t>
  </si>
  <si>
    <t>اسم المالك</t>
  </si>
  <si>
    <t>رقم هاتف المالك</t>
  </si>
  <si>
    <t>اسم المديرة</t>
  </si>
  <si>
    <t>رقم هاتف المديرة</t>
  </si>
  <si>
    <t>اسم الشخص المعني بالتواصل مع الإدارة</t>
  </si>
  <si>
    <t>رقم هاتف الشخص المعني بالتواصل مع الإدارة</t>
  </si>
  <si>
    <t>اسم الشخص المعني بإدخال البيانات</t>
  </si>
  <si>
    <t>رقم هاتف الشخص المعني بإدخال البيانات</t>
  </si>
  <si>
    <t>مبنى</t>
  </si>
  <si>
    <t>طريق</t>
  </si>
  <si>
    <t>مجمع</t>
  </si>
  <si>
    <t>المنطقة</t>
  </si>
  <si>
    <t>المحافظة</t>
  </si>
  <si>
    <t>رقم السجل التجاري</t>
  </si>
  <si>
    <t>محافظة المحرق</t>
  </si>
  <si>
    <t>محافظة العاصمة</t>
  </si>
  <si>
    <t>المحافظة الشمالية</t>
  </si>
  <si>
    <t>المحافظة الجنوبية</t>
  </si>
  <si>
    <t>المرخ</t>
  </si>
  <si>
    <t>الطاقة الاستيعابية المرخصة</t>
  </si>
  <si>
    <t>سنة التأسيس</t>
  </si>
  <si>
    <t>متوقفة عن العمل</t>
  </si>
  <si>
    <t>اسم المؤسسة</t>
  </si>
  <si>
    <t>Institution's NAME</t>
  </si>
  <si>
    <t>دار حضانة وروضة حروف</t>
  </si>
  <si>
    <t>Blossom Paradise Nursery &amp; Kindergarten</t>
  </si>
  <si>
    <t>سارة عبداللطيف الحمادي</t>
  </si>
  <si>
    <t>مادلين سيسيليا المؤيد</t>
  </si>
  <si>
    <t>38382720
39377677</t>
  </si>
  <si>
    <t xml:space="preserve">مريم ناصر </t>
  </si>
  <si>
    <t>دار حضانة وروضة زهر الجنة</t>
  </si>
  <si>
    <t>Madeleine's Nursery and Preschool Saar</t>
  </si>
  <si>
    <t>دار حضانة وروضة مادلين - سار</t>
  </si>
  <si>
    <t>Huroof Nursery and Kindergarten</t>
  </si>
  <si>
    <t>جرداب</t>
  </si>
  <si>
    <t>عراد</t>
  </si>
  <si>
    <t xml:space="preserve"> Hroof.preschool@gmail.com</t>
  </si>
  <si>
    <t>شوقية القريب</t>
  </si>
  <si>
    <t>33206388
77919888</t>
  </si>
  <si>
    <t>info@blossom-paradise.com</t>
  </si>
  <si>
    <t xml:space="preserve">Kangaroo Kids International Pre School </t>
  </si>
  <si>
    <t>782/م م ج ب أ/2023</t>
  </si>
  <si>
    <t>kangarookidsbahrain@gmail.com
info@kangarookidsbh.com</t>
  </si>
  <si>
    <t xml:space="preserve">Sozy Rosh Paulose </t>
  </si>
  <si>
    <t>Diana Patrick</t>
  </si>
  <si>
    <t>36102177
33491982</t>
  </si>
  <si>
    <t>مدينة حمد</t>
  </si>
  <si>
    <t>كانغرو كيدز</t>
  </si>
  <si>
    <t>الطفل الذكي</t>
  </si>
  <si>
    <t>224/ م ع ن /2015</t>
  </si>
  <si>
    <t>100674-1</t>
  </si>
  <si>
    <t>Cleverkidpreschool@hotmail.com</t>
  </si>
  <si>
    <t xml:space="preserve">ميرفت يوسف محمد حسن مسلم  </t>
  </si>
  <si>
    <t xml:space="preserve">مرفت يوسف محمد حسن  </t>
  </si>
  <si>
    <t>الرفاع</t>
  </si>
  <si>
    <t>Clever Kid</t>
  </si>
  <si>
    <t xml:space="preserve">تأجيل دراسة </t>
  </si>
  <si>
    <t>165686-1</t>
  </si>
  <si>
    <t>مجموع المؤسسات الشاملة</t>
  </si>
  <si>
    <t>حالة المؤسسات الشاملة</t>
  </si>
  <si>
    <t>عدد المؤسسات الشاملة في كل محافظة</t>
  </si>
  <si>
    <t>168634-1</t>
  </si>
  <si>
    <t>163912-1</t>
  </si>
  <si>
    <t>الرقم الشخصي للمالك</t>
  </si>
  <si>
    <t>عدد المؤسسات الشاملة</t>
  </si>
  <si>
    <t>بيانات المؤسسات الشاملة المستقلة</t>
  </si>
  <si>
    <t>القلم</t>
  </si>
  <si>
    <t>AlQalam</t>
  </si>
  <si>
    <t>أم ناصر الفنلندية</t>
  </si>
  <si>
    <t>Um Nasser Finland Preschool</t>
  </si>
  <si>
    <t>البراق</t>
  </si>
  <si>
    <t>Albiraq</t>
  </si>
  <si>
    <t>أ ب ت</t>
  </si>
  <si>
    <t>ABC</t>
  </si>
  <si>
    <t>الحضانة</t>
  </si>
  <si>
    <t>الروضة</t>
  </si>
  <si>
    <t xml:space="preserve">17600066 - 17700010 </t>
  </si>
  <si>
    <t xml:space="preserve">    26 - مدخل 951</t>
  </si>
  <si>
    <t xml:space="preserve">كرزكان </t>
  </si>
  <si>
    <t>الرفاع الغربي</t>
  </si>
  <si>
    <t xml:space="preserve">سنابس </t>
  </si>
  <si>
    <t xml:space="preserve">توبلي </t>
  </si>
  <si>
    <t>عبدالله منصور عبد محمد آل بوحميد</t>
  </si>
  <si>
    <t>شركة إس إليفن التعليمية ذ.م.م 
يمثلها خالد محمد جاسم الحمادي</t>
  </si>
  <si>
    <t>فاطمة علي محسن العلي</t>
  </si>
  <si>
    <t>نسرين اسماعيل عبدالله سالم</t>
  </si>
  <si>
    <t>Shirley David Giles</t>
  </si>
  <si>
    <t>تغيير مبنى</t>
  </si>
  <si>
    <t>alqalam1998@gmail.com</t>
  </si>
  <si>
    <t>albiraq.kg@gmail.com</t>
  </si>
  <si>
    <t>abc.preschoolbahrain@gmail.com</t>
  </si>
  <si>
    <t>littlestarzpreschoolbahrain@gmail.com
jawaher@littlestarzpreschool.com</t>
  </si>
  <si>
    <t>جواهر خليفة آل خليفة</t>
  </si>
  <si>
    <t>308/ م ع ن /2012</t>
  </si>
  <si>
    <t>106279-1</t>
  </si>
  <si>
    <t>109/ ت خ /1998</t>
  </si>
  <si>
    <t>29993-2</t>
  </si>
  <si>
    <t>رباب حسن العلي</t>
  </si>
  <si>
    <t xml:space="preserve">عبدالله منصور عبدمحمد 
رباب حسن العلي </t>
  </si>
  <si>
    <t>39617627
39617617</t>
  </si>
  <si>
    <t>مريم علي عواجي</t>
  </si>
  <si>
    <t>نرمين اسماعيل عبدالله سالم</t>
  </si>
  <si>
    <t>نرمين اسماعيل سالم</t>
  </si>
  <si>
    <t>Info@umnasserfinland.edu.bh</t>
  </si>
  <si>
    <t>saar@madeleinespreschool.com</t>
  </si>
  <si>
    <t>183468-1</t>
  </si>
  <si>
    <t>Kangaroo Kids International Preschool W.L.L
Jeeben Varghese Kurian يمثلها</t>
  </si>
  <si>
    <t>Start Smart Nursery and Kindergarten</t>
  </si>
  <si>
    <t>مدينة سلمان - البدع</t>
  </si>
  <si>
    <t>Rising stars Nursery and Kindergarten</t>
  </si>
  <si>
    <t>الرفاع الشرقي</t>
  </si>
  <si>
    <t>حسن صالح مبارك صليبيخ</t>
  </si>
  <si>
    <t xml:space="preserve">Little starz </t>
  </si>
  <si>
    <t xml:space="preserve"> النجوم الصغيرة</t>
  </si>
  <si>
    <t>فيصل شرف محسن شرف</t>
  </si>
  <si>
    <t>38918591
39717227
36646467</t>
  </si>
  <si>
    <t>دار حضانة وروضة ستارت سمارت</t>
  </si>
  <si>
    <t>دار حضانة وروضة النجوم الصاعدة</t>
  </si>
  <si>
    <t>17741873
33337035</t>
  </si>
  <si>
    <t>rising.stars.bh@gmail.com</t>
  </si>
  <si>
    <t>startsmartkgbh@gmail.com</t>
  </si>
  <si>
    <t>منال فيصل شرف</t>
  </si>
  <si>
    <t>لينا ميري تاليو</t>
  </si>
  <si>
    <t>ريم حسن أحمد</t>
  </si>
  <si>
    <t>شفيقة شكرالله</t>
  </si>
  <si>
    <t>بشرى حسن</t>
  </si>
  <si>
    <t xml:space="preserve">Blossom Paradise Nursery and Kindergarten W.L.L
تمثلها شفيقة رياز روماني </t>
  </si>
  <si>
    <t>حضانة وروضة كي جي كيدز</t>
  </si>
  <si>
    <t>operations.manager@kgkids.com</t>
  </si>
  <si>
    <t>شركة Lanceley Holding W.L.L.
الممثل القانوني JANET JAMES REGINALD LANCELEY</t>
  </si>
  <si>
    <t>Hanine Elsayed
 Diana Crivtonencu Elsayed</t>
  </si>
  <si>
    <t>Hanine Elsayed</t>
  </si>
  <si>
    <t>مدخل 232</t>
  </si>
  <si>
    <t>جري الشيخ</t>
  </si>
  <si>
    <t>1864 / م ع ن / 2018
2015/د ح / 30</t>
  </si>
  <si>
    <t>حضانة 28 /12/ 2021</t>
  </si>
  <si>
    <t xml:space="preserve">
18</t>
  </si>
  <si>
    <t>99872-1
حضانة 120576-1</t>
  </si>
  <si>
    <t>حضانة وروضة علاء الدين</t>
  </si>
  <si>
    <t xml:space="preserve">KG Kids Nursery and Kindergartenl </t>
  </si>
  <si>
    <t>aladdin-kg@hotmail.com</t>
  </si>
  <si>
    <t xml:space="preserve">شركة روضة علاء الدين ذ.م.م
يمثلها السيد عيسى عبدعلي عيسى الدعيسي </t>
  </si>
  <si>
    <t xml:space="preserve">مهدية عبدعلي عيسى الدعيسي </t>
  </si>
  <si>
    <t xml:space="preserve">زهراء حسين علي </t>
  </si>
  <si>
    <t>100742-1</t>
  </si>
  <si>
    <t>Alaa Alddin Nursery and Kindergarten</t>
  </si>
  <si>
    <t>1267 / م ع ن / 2019
28/دح/2015</t>
  </si>
  <si>
    <t>21
4</t>
  </si>
  <si>
    <t>Jennifer Hill</t>
  </si>
  <si>
    <t>حضانة</t>
  </si>
  <si>
    <t>روضة</t>
  </si>
  <si>
    <t xml:space="preserve"> -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</si>
</sst>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yy;@"/>
  </numFmts>
  <fonts count="14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8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0"/>
      <name val="Arial"/>
      <family val="2"/>
    </font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b/>
      <sz val="16"/>
      <color theme="0"/>
      <name val="Arial"/>
      <family val="2"/>
    </font>
    <font>
      <u/>
      <sz val="12"/>
      <color theme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7" fillId="0" borderId="0" applyNumberFormat="0" applyFill="0" applyBorder="0" applyAlignment="0" applyProtection="0"/>
    <xf numFmtId="0" fontId="10" fillId="0" borderId="0"/>
    <xf numFmtId="0" fontId="11" fillId="0" borderId="0" applyNumberForma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 readingOrder="2"/>
    </xf>
    <xf numFmtId="0" fontId="6" fillId="2" borderId="5" xfId="0" applyFont="1" applyFill="1" applyBorder="1" applyAlignment="1">
      <alignment horizontal="center" vertical="center" wrapText="1" readingOrder="2"/>
    </xf>
    <xf numFmtId="0" fontId="6" fillId="6" borderId="5" xfId="0" applyFont="1" applyFill="1" applyBorder="1" applyAlignment="1">
      <alignment horizontal="center" vertical="center" wrapText="1" readingOrder="2"/>
    </xf>
    <xf numFmtId="0" fontId="6" fillId="7" borderId="7" xfId="0" applyFont="1" applyFill="1" applyBorder="1" applyAlignment="1">
      <alignment horizontal="center" vertical="center" wrapText="1" readingOrder="2"/>
    </xf>
    <xf numFmtId="0" fontId="3" fillId="0" borderId="8" xfId="0" applyFont="1" applyBorder="1" applyAlignment="1">
      <alignment horizontal="center" vertical="center"/>
    </xf>
    <xf numFmtId="0" fontId="12" fillId="0" borderId="0" xfId="0" applyFont="1" applyAlignment="1">
      <alignment vertical="center" wrapText="1" readingOrder="2"/>
    </xf>
    <xf numFmtId="0" fontId="2" fillId="4" borderId="1" xfId="2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readingOrder="2"/>
    </xf>
    <xf numFmtId="0" fontId="2" fillId="4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 readingOrder="2"/>
    </xf>
    <xf numFmtId="0" fontId="1" fillId="4" borderId="1" xfId="0" applyFont="1" applyFill="1" applyBorder="1" applyAlignment="1">
      <alignment horizontal="center" vertical="center" wrapText="1" readingOrder="1"/>
    </xf>
    <xf numFmtId="0" fontId="9" fillId="5" borderId="4" xfId="0" applyFont="1" applyFill="1" applyBorder="1" applyAlignment="1">
      <alignment vertical="center" readingOrder="2"/>
    </xf>
    <xf numFmtId="0" fontId="7" fillId="4" borderId="1" xfId="1" applyFill="1" applyBorder="1" applyAlignment="1">
      <alignment horizontal="center" vertical="center" wrapText="1"/>
    </xf>
    <xf numFmtId="0" fontId="7" fillId="4" borderId="1" xfId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readingOrder="2"/>
    </xf>
    <xf numFmtId="0" fontId="2" fillId="4" borderId="0" xfId="0" applyFont="1" applyFill="1" applyAlignment="1">
      <alignment horizontal="center" vertical="center" wrapText="1"/>
    </xf>
    <xf numFmtId="0" fontId="13" fillId="4" borderId="1" xfId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 wrapText="1" readingOrder="2"/>
    </xf>
    <xf numFmtId="0" fontId="12" fillId="5" borderId="9" xfId="0" applyFont="1" applyFill="1" applyBorder="1" applyAlignment="1">
      <alignment horizontal="center" vertical="center" wrapText="1" readingOrder="2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</cellXfs>
  <cellStyles count="7">
    <cellStyle name="Comma 2" xfId="4" xr:uid="{00000000-0005-0000-0000-000000000000}"/>
    <cellStyle name="Hyperlink" xfId="1" builtinId="8"/>
    <cellStyle name="Hyperlink 2" xfId="3" xr:uid="{00000000-0005-0000-0000-000002000000}"/>
    <cellStyle name="Normal" xfId="0" builtinId="0"/>
    <cellStyle name="Normal 2" xfId="2" xr:uid="{00000000-0005-0000-0000-000004000000}"/>
    <cellStyle name="Normal 2 2" xfId="5" xr:uid="{00000000-0005-0000-0000-000005000000}"/>
    <cellStyle name="Percent 2" xfId="6" xr:uid="{00000000-0005-0000-0000-000006000000}"/>
  </cellStyles>
  <dxfs count="5">
    <dxf>
      <fill>
        <patternFill patternType="solid">
          <fgColor rgb="FFFF000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34847</xdr:colOff>
      <xdr:row>0</xdr:row>
      <xdr:rowOff>394921</xdr:rowOff>
    </xdr:from>
    <xdr:to>
      <xdr:col>1</xdr:col>
      <xdr:colOff>506065</xdr:colOff>
      <xdr:row>1</xdr:row>
      <xdr:rowOff>2463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6C6FA6-51E1-40BD-8484-6D9171FCEF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991"/>
        <a:stretch/>
      </xdr:blipFill>
      <xdr:spPr>
        <a:xfrm>
          <a:off x="13536121923" y="394921"/>
          <a:ext cx="1086858" cy="487883"/>
        </a:xfrm>
        <a:prstGeom prst="rect">
          <a:avLst/>
        </a:prstGeom>
      </xdr:spPr>
    </xdr:pic>
    <xdr:clientData/>
  </xdr:twoCellAnchor>
  <xdr:twoCellAnchor editAs="oneCell">
    <xdr:from>
      <xdr:col>1</xdr:col>
      <xdr:colOff>836156</xdr:colOff>
      <xdr:row>0</xdr:row>
      <xdr:rowOff>317312</xdr:rowOff>
    </xdr:from>
    <xdr:to>
      <xdr:col>1</xdr:col>
      <xdr:colOff>1943100</xdr:colOff>
      <xdr:row>0</xdr:row>
      <xdr:rowOff>758930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5F67C1-73AE-427B-A4A0-0D0C607557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032"/>
        <a:stretch/>
      </xdr:blipFill>
      <xdr:spPr>
        <a:xfrm>
          <a:off x="13443440220" y="317312"/>
          <a:ext cx="1106944" cy="441618"/>
        </a:xfrm>
        <a:prstGeom prst="rect">
          <a:avLst/>
        </a:prstGeom>
      </xdr:spPr>
    </xdr:pic>
    <xdr:clientData/>
  </xdr:twoCellAnchor>
  <xdr:twoCellAnchor editAs="oneCell">
    <xdr:from>
      <xdr:col>0</xdr:col>
      <xdr:colOff>120431</xdr:colOff>
      <xdr:row>0</xdr:row>
      <xdr:rowOff>47504</xdr:rowOff>
    </xdr:from>
    <xdr:to>
      <xdr:col>1</xdr:col>
      <xdr:colOff>1870632</xdr:colOff>
      <xdr:row>0</xdr:row>
      <xdr:rowOff>417481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2C0D8D-8CB6-4291-B7A7-E71CE9F2D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75763506" y="47504"/>
          <a:ext cx="2374253" cy="3699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Info@umnasserfinland.edu.bh" TargetMode="External"/><Relationship Id="rId7" Type="http://schemas.openxmlformats.org/officeDocument/2006/relationships/hyperlink" Target="mailto:aladdin-kg@hotmail.com" TargetMode="External"/><Relationship Id="rId2" Type="http://schemas.openxmlformats.org/officeDocument/2006/relationships/hyperlink" Target="mailto:abc.preschoolbahrain@gmail.com" TargetMode="External"/><Relationship Id="rId1" Type="http://schemas.openxmlformats.org/officeDocument/2006/relationships/hyperlink" Target="mailto:saraalhammadi@hotmail.com" TargetMode="External"/><Relationship Id="rId6" Type="http://schemas.openxmlformats.org/officeDocument/2006/relationships/hyperlink" Target="mailto:startsmartkgbh@gmail.com" TargetMode="External"/><Relationship Id="rId5" Type="http://schemas.openxmlformats.org/officeDocument/2006/relationships/hyperlink" Target="mailto:rising.stars.bh@gmail.com" TargetMode="External"/><Relationship Id="rId4" Type="http://schemas.openxmlformats.org/officeDocument/2006/relationships/hyperlink" Target="mailto:saar@madeleinespreschool.com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"/>
  <sheetViews>
    <sheetView rightToLeft="1" tabSelected="1" zoomScale="50" zoomScaleNormal="50" zoomScalePageLayoutView="85" workbookViewId="0">
      <pane ySplit="4" topLeftCell="A12" activePane="bottomLeft" state="frozen"/>
      <selection pane="bottomLeft" activeCell="E22" sqref="E22"/>
    </sheetView>
  </sheetViews>
  <sheetFormatPr defaultColWidth="12.23828125" defaultRowHeight="24.95" customHeight="1" x14ac:dyDescent="0.2"/>
  <cols>
    <col min="1" max="1" width="9.28125" style="1" customWidth="1"/>
    <col min="2" max="2" width="45.46875" style="1" customWidth="1"/>
    <col min="3" max="3" width="69.14453125" style="1" customWidth="1"/>
    <col min="4" max="4" width="20.04296875" style="1" customWidth="1"/>
    <col min="5" max="5" width="21.1171875" style="1" customWidth="1"/>
    <col min="6" max="7" width="20.71484375" style="1" customWidth="1"/>
    <col min="8" max="8" width="27.44140625" style="1" customWidth="1"/>
    <col min="9" max="9" width="45.73828125" style="1" customWidth="1"/>
    <col min="10" max="10" width="63.8984375" style="1" customWidth="1"/>
    <col min="11" max="12" width="25.69140625" style="1" customWidth="1"/>
    <col min="13" max="13" width="33.359375" style="1" customWidth="1"/>
    <col min="14" max="14" width="25.69140625" style="1" customWidth="1"/>
    <col min="15" max="15" width="29.45703125" style="1" customWidth="1"/>
    <col min="16" max="16" width="29.32421875" style="1" customWidth="1"/>
    <col min="17" max="17" width="32.015625" style="1" customWidth="1"/>
    <col min="18" max="21" width="25.69140625" style="1" customWidth="1"/>
    <col min="22" max="22" width="29.59375" style="1" customWidth="1"/>
    <col min="23" max="23" width="25.69140625" style="1" customWidth="1"/>
    <col min="24" max="25" width="12.23828125" style="1" customWidth="1"/>
    <col min="26" max="26" width="19.1015625" style="1" customWidth="1"/>
    <col min="27" max="27" width="12.23828125" style="1"/>
    <col min="28" max="28" width="15.33203125" style="1" customWidth="1"/>
    <col min="29" max="16384" width="12.23828125" style="1"/>
  </cols>
  <sheetData>
    <row r="1" spans="1:29" s="9" customFormat="1" ht="69.75" customHeight="1" x14ac:dyDescent="0.2"/>
    <row r="2" spans="1:29" ht="55.5" customHeight="1" x14ac:dyDescent="0.2">
      <c r="A2" s="25" t="s">
        <v>77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 ht="42.75" customHeight="1" x14ac:dyDescent="0.2">
      <c r="A3" s="3" t="s">
        <v>5</v>
      </c>
      <c r="B3" s="41" t="s">
        <v>34</v>
      </c>
      <c r="C3" s="41" t="s">
        <v>35</v>
      </c>
      <c r="D3" s="43" t="s">
        <v>0</v>
      </c>
      <c r="E3" s="43" t="s">
        <v>1</v>
      </c>
      <c r="F3" s="39" t="s">
        <v>31</v>
      </c>
      <c r="G3" s="40"/>
      <c r="H3" s="43" t="s">
        <v>10</v>
      </c>
      <c r="I3" s="43" t="s">
        <v>11</v>
      </c>
      <c r="J3" s="43" t="s">
        <v>12</v>
      </c>
      <c r="K3" s="43" t="s">
        <v>13</v>
      </c>
      <c r="L3" s="43" t="s">
        <v>75</v>
      </c>
      <c r="M3" s="43" t="s">
        <v>14</v>
      </c>
      <c r="N3" s="43" t="s">
        <v>15</v>
      </c>
      <c r="O3" s="43" t="s">
        <v>16</v>
      </c>
      <c r="P3" s="43" t="s">
        <v>17</v>
      </c>
      <c r="Q3" s="43" t="s">
        <v>18</v>
      </c>
      <c r="R3" s="43" t="s">
        <v>19</v>
      </c>
      <c r="S3" s="43" t="s">
        <v>20</v>
      </c>
      <c r="T3" s="43" t="s">
        <v>21</v>
      </c>
      <c r="U3" s="43" t="s">
        <v>22</v>
      </c>
      <c r="V3" s="43" t="s">
        <v>23</v>
      </c>
      <c r="W3" s="43" t="s">
        <v>24</v>
      </c>
      <c r="X3" s="39" t="s">
        <v>32</v>
      </c>
      <c r="Y3" s="40"/>
      <c r="Z3" s="43" t="s">
        <v>7</v>
      </c>
      <c r="AA3" s="43" t="s">
        <v>8</v>
      </c>
      <c r="AB3" s="43" t="s">
        <v>25</v>
      </c>
      <c r="AC3" s="43" t="s">
        <v>9</v>
      </c>
    </row>
    <row r="4" spans="1:29" ht="30.75" customHeight="1" x14ac:dyDescent="0.25">
      <c r="A4" s="3"/>
      <c r="B4" s="42"/>
      <c r="C4" s="42"/>
      <c r="D4" s="44"/>
      <c r="E4" s="44"/>
      <c r="F4" s="2" t="s">
        <v>86</v>
      </c>
      <c r="G4" s="2" t="s">
        <v>87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2" t="s">
        <v>161</v>
      </c>
      <c r="Y4" s="2" t="s">
        <v>162</v>
      </c>
      <c r="Z4" s="44"/>
      <c r="AA4" s="44"/>
      <c r="AB4" s="44"/>
      <c r="AC4" s="44"/>
    </row>
    <row r="5" spans="1:29" ht="35.25" customHeight="1" x14ac:dyDescent="0.15">
      <c r="A5" s="10">
        <v>1</v>
      </c>
      <c r="B5" s="6" t="s">
        <v>44</v>
      </c>
      <c r="C5" s="6" t="s">
        <v>43</v>
      </c>
      <c r="D5" s="10" t="s">
        <v>2</v>
      </c>
      <c r="E5" s="10" t="s">
        <v>4</v>
      </c>
      <c r="F5" s="35">
        <v>52</v>
      </c>
      <c r="G5" s="36"/>
      <c r="H5" s="10">
        <v>38382822</v>
      </c>
      <c r="I5" s="27" t="s">
        <v>116</v>
      </c>
      <c r="J5" s="19" t="s">
        <v>39</v>
      </c>
      <c r="K5" s="19" t="s">
        <v>40</v>
      </c>
      <c r="L5" s="19"/>
      <c r="M5" s="19" t="s">
        <v>39</v>
      </c>
      <c r="N5" s="21" t="s">
        <v>40</v>
      </c>
      <c r="O5" s="10" t="s">
        <v>41</v>
      </c>
      <c r="P5" s="10">
        <v>38382822</v>
      </c>
      <c r="Q5" s="10"/>
      <c r="R5" s="10"/>
      <c r="S5" s="10">
        <v>1526</v>
      </c>
      <c r="T5" s="10">
        <v>3363</v>
      </c>
      <c r="U5" s="10">
        <v>533</v>
      </c>
      <c r="V5" s="10" t="s">
        <v>30</v>
      </c>
      <c r="W5" s="10" t="s">
        <v>28</v>
      </c>
      <c r="X5" s="35">
        <v>2024</v>
      </c>
      <c r="Y5" s="36"/>
      <c r="Z5" s="20"/>
      <c r="AA5" s="22"/>
      <c r="AB5" s="10" t="s">
        <v>73</v>
      </c>
      <c r="AC5" s="10"/>
    </row>
    <row r="6" spans="1:29" ht="24.95" customHeight="1" x14ac:dyDescent="0.2">
      <c r="A6" s="10">
        <v>2</v>
      </c>
      <c r="B6" s="6" t="s">
        <v>36</v>
      </c>
      <c r="C6" s="6" t="s">
        <v>45</v>
      </c>
      <c r="D6" s="10" t="s">
        <v>3</v>
      </c>
      <c r="E6" s="10" t="s">
        <v>4</v>
      </c>
      <c r="F6" s="35">
        <v>123</v>
      </c>
      <c r="G6" s="36"/>
      <c r="H6" s="19">
        <v>17677999</v>
      </c>
      <c r="I6" s="19" t="s">
        <v>48</v>
      </c>
      <c r="J6" s="10" t="s">
        <v>38</v>
      </c>
      <c r="K6" s="19">
        <v>39406868</v>
      </c>
      <c r="L6" s="19"/>
      <c r="M6" s="10" t="s">
        <v>49</v>
      </c>
      <c r="N6" s="10">
        <v>39407774</v>
      </c>
      <c r="O6" s="10" t="s">
        <v>49</v>
      </c>
      <c r="P6" s="10">
        <v>39407774</v>
      </c>
      <c r="Q6" s="10"/>
      <c r="R6" s="10"/>
      <c r="S6" s="10">
        <v>2628</v>
      </c>
      <c r="T6" s="10">
        <v>4452</v>
      </c>
      <c r="U6" s="10">
        <v>244</v>
      </c>
      <c r="V6" s="10" t="s">
        <v>47</v>
      </c>
      <c r="W6" s="10" t="s">
        <v>26</v>
      </c>
      <c r="X6" s="35">
        <v>2024</v>
      </c>
      <c r="Y6" s="36"/>
      <c r="Z6" s="20"/>
      <c r="AA6" s="22"/>
      <c r="AB6" s="10" t="s">
        <v>69</v>
      </c>
      <c r="AC6" s="10"/>
    </row>
    <row r="7" spans="1:29" ht="34.5" customHeight="1" x14ac:dyDescent="0.15">
      <c r="A7" s="10">
        <v>3</v>
      </c>
      <c r="B7" s="6" t="s">
        <v>42</v>
      </c>
      <c r="C7" s="6" t="s">
        <v>37</v>
      </c>
      <c r="D7" s="10" t="s">
        <v>2</v>
      </c>
      <c r="E7" s="10" t="s">
        <v>4</v>
      </c>
      <c r="F7" s="35">
        <v>174</v>
      </c>
      <c r="G7" s="36"/>
      <c r="H7" s="21" t="s">
        <v>50</v>
      </c>
      <c r="I7" s="10" t="s">
        <v>51</v>
      </c>
      <c r="J7" s="21" t="s">
        <v>138</v>
      </c>
      <c r="K7" s="10">
        <v>35506581</v>
      </c>
      <c r="L7" s="10"/>
      <c r="M7" s="10" t="s">
        <v>160</v>
      </c>
      <c r="N7" s="10">
        <v>39203091</v>
      </c>
      <c r="O7" s="10"/>
      <c r="P7" s="10">
        <v>39203091</v>
      </c>
      <c r="Q7" s="10"/>
      <c r="R7" s="10"/>
      <c r="S7" s="10">
        <v>1855</v>
      </c>
      <c r="T7" s="10">
        <v>2953</v>
      </c>
      <c r="U7" s="10">
        <v>729</v>
      </c>
      <c r="V7" s="10" t="s">
        <v>46</v>
      </c>
      <c r="W7" s="10" t="s">
        <v>27</v>
      </c>
      <c r="X7" s="35">
        <v>2024</v>
      </c>
      <c r="Y7" s="36"/>
      <c r="Z7" s="10"/>
      <c r="AA7" s="10"/>
      <c r="AB7" s="10" t="s">
        <v>74</v>
      </c>
      <c r="AC7" s="10"/>
    </row>
    <row r="8" spans="1:29" ht="35.25" customHeight="1" x14ac:dyDescent="0.2">
      <c r="A8" s="10">
        <v>4</v>
      </c>
      <c r="B8" s="6" t="s">
        <v>60</v>
      </c>
      <c r="C8" s="6" t="s">
        <v>67</v>
      </c>
      <c r="D8" s="10" t="s">
        <v>3</v>
      </c>
      <c r="E8" s="10" t="s">
        <v>4</v>
      </c>
      <c r="F8" s="35">
        <v>100</v>
      </c>
      <c r="G8" s="36"/>
      <c r="H8" s="10">
        <v>17227997</v>
      </c>
      <c r="I8" s="10" t="s">
        <v>63</v>
      </c>
      <c r="J8" s="10" t="s">
        <v>64</v>
      </c>
      <c r="K8" s="10">
        <v>36711333</v>
      </c>
      <c r="L8" s="10"/>
      <c r="M8" s="10" t="s">
        <v>65</v>
      </c>
      <c r="N8" s="10">
        <v>36711333</v>
      </c>
      <c r="O8" s="10" t="s">
        <v>65</v>
      </c>
      <c r="P8" s="10">
        <v>36711333</v>
      </c>
      <c r="Q8" s="10" t="s">
        <v>65</v>
      </c>
      <c r="R8" s="10">
        <v>36711333</v>
      </c>
      <c r="S8" s="10">
        <v>362</v>
      </c>
      <c r="T8" s="10">
        <v>1706</v>
      </c>
      <c r="U8" s="10">
        <v>917</v>
      </c>
      <c r="V8" s="10" t="s">
        <v>66</v>
      </c>
      <c r="W8" s="10" t="s">
        <v>29</v>
      </c>
      <c r="X8" s="35">
        <v>2015</v>
      </c>
      <c r="Y8" s="36"/>
      <c r="Z8" s="20" t="s">
        <v>61</v>
      </c>
      <c r="AA8" s="10"/>
      <c r="AB8" s="10" t="s">
        <v>62</v>
      </c>
      <c r="AC8" s="10">
        <v>7</v>
      </c>
    </row>
    <row r="9" spans="1:29" ht="63" customHeight="1" x14ac:dyDescent="0.15">
      <c r="A9" s="10">
        <v>5</v>
      </c>
      <c r="B9" s="6" t="s">
        <v>59</v>
      </c>
      <c r="C9" s="6" t="s">
        <v>52</v>
      </c>
      <c r="D9" s="10" t="s">
        <v>2</v>
      </c>
      <c r="E9" s="10" t="s">
        <v>4</v>
      </c>
      <c r="F9" s="35">
        <v>101</v>
      </c>
      <c r="G9" s="36"/>
      <c r="H9" s="10">
        <v>17253444</v>
      </c>
      <c r="I9" s="21" t="s">
        <v>54</v>
      </c>
      <c r="J9" s="21" t="s">
        <v>118</v>
      </c>
      <c r="K9" s="10">
        <v>36465777</v>
      </c>
      <c r="L9" s="10">
        <v>920410774</v>
      </c>
      <c r="M9" s="10" t="s">
        <v>55</v>
      </c>
      <c r="N9" s="10">
        <v>39047944</v>
      </c>
      <c r="O9" s="10" t="s">
        <v>56</v>
      </c>
      <c r="P9" s="21" t="s">
        <v>57</v>
      </c>
      <c r="Q9" s="10"/>
      <c r="R9" s="10"/>
      <c r="S9" s="10">
        <v>3665</v>
      </c>
      <c r="T9" s="10">
        <v>456</v>
      </c>
      <c r="U9" s="10">
        <v>1204</v>
      </c>
      <c r="V9" s="10" t="s">
        <v>58</v>
      </c>
      <c r="W9" s="10" t="s">
        <v>28</v>
      </c>
      <c r="X9" s="35">
        <v>2022</v>
      </c>
      <c r="Y9" s="36"/>
      <c r="Z9" s="20" t="s">
        <v>53</v>
      </c>
      <c r="AA9" s="10"/>
      <c r="AB9" s="10" t="s">
        <v>117</v>
      </c>
      <c r="AC9" s="10"/>
    </row>
    <row r="10" spans="1:29" ht="38.25" customHeight="1" x14ac:dyDescent="0.15">
      <c r="A10" s="10">
        <v>6</v>
      </c>
      <c r="B10" s="6" t="s">
        <v>78</v>
      </c>
      <c r="C10" s="6" t="s">
        <v>79</v>
      </c>
      <c r="D10" s="10" t="s">
        <v>3</v>
      </c>
      <c r="E10" s="10" t="s">
        <v>4</v>
      </c>
      <c r="F10" s="35">
        <v>290</v>
      </c>
      <c r="G10" s="36"/>
      <c r="H10" s="10" t="s">
        <v>88</v>
      </c>
      <c r="I10" s="26" t="s">
        <v>100</v>
      </c>
      <c r="J10" s="10" t="s">
        <v>94</v>
      </c>
      <c r="K10" s="10">
        <v>39617617</v>
      </c>
      <c r="L10" s="10"/>
      <c r="M10" s="10" t="s">
        <v>109</v>
      </c>
      <c r="N10" s="10">
        <v>39617617</v>
      </c>
      <c r="O10" s="21" t="s">
        <v>110</v>
      </c>
      <c r="P10" s="21" t="s">
        <v>111</v>
      </c>
      <c r="Q10" s="10" t="s">
        <v>109</v>
      </c>
      <c r="R10" s="10">
        <v>39617627</v>
      </c>
      <c r="S10" s="10" t="s">
        <v>89</v>
      </c>
      <c r="T10" s="10">
        <v>2731</v>
      </c>
      <c r="U10" s="10">
        <v>1027</v>
      </c>
      <c r="V10" s="10" t="s">
        <v>90</v>
      </c>
      <c r="W10" s="10" t="s">
        <v>28</v>
      </c>
      <c r="X10" s="35">
        <v>1998</v>
      </c>
      <c r="Y10" s="36"/>
      <c r="Z10" s="20" t="s">
        <v>107</v>
      </c>
      <c r="AA10" s="22"/>
      <c r="AB10" s="10" t="s">
        <v>108</v>
      </c>
      <c r="AC10" s="10">
        <v>16</v>
      </c>
    </row>
    <row r="11" spans="1:29" ht="38.25" customHeight="1" x14ac:dyDescent="0.15">
      <c r="A11" s="10">
        <v>7</v>
      </c>
      <c r="B11" s="6" t="s">
        <v>80</v>
      </c>
      <c r="C11" s="6" t="s">
        <v>81</v>
      </c>
      <c r="D11" s="10" t="s">
        <v>2</v>
      </c>
      <c r="E11" s="10" t="s">
        <v>4</v>
      </c>
      <c r="F11" s="35">
        <v>205</v>
      </c>
      <c r="G11" s="36"/>
      <c r="H11" s="10">
        <v>17722772</v>
      </c>
      <c r="I11" s="26" t="s">
        <v>115</v>
      </c>
      <c r="J11" s="21" t="s">
        <v>95</v>
      </c>
      <c r="K11" s="10" t="s">
        <v>163</v>
      </c>
      <c r="L11" s="10"/>
      <c r="M11" s="10" t="s">
        <v>134</v>
      </c>
      <c r="N11" s="10">
        <v>37421911</v>
      </c>
      <c r="O11" s="10" t="s">
        <v>135</v>
      </c>
      <c r="P11" s="21">
        <v>33440061</v>
      </c>
      <c r="Q11" s="10"/>
      <c r="R11" s="10"/>
      <c r="S11" s="10">
        <v>3085</v>
      </c>
      <c r="T11" s="10">
        <v>1066</v>
      </c>
      <c r="U11" s="10">
        <v>910</v>
      </c>
      <c r="V11" s="10" t="s">
        <v>91</v>
      </c>
      <c r="W11" s="10" t="s">
        <v>29</v>
      </c>
      <c r="X11" s="35">
        <v>2025</v>
      </c>
      <c r="Y11" s="36"/>
      <c r="Z11" s="20"/>
      <c r="AA11" s="10"/>
      <c r="AB11" s="10"/>
      <c r="AC11" s="10"/>
    </row>
    <row r="12" spans="1:29" ht="38.25" customHeight="1" x14ac:dyDescent="0.2">
      <c r="A12" s="10">
        <v>8</v>
      </c>
      <c r="B12" s="6" t="s">
        <v>82</v>
      </c>
      <c r="C12" s="6" t="s">
        <v>83</v>
      </c>
      <c r="D12" s="10" t="s">
        <v>3</v>
      </c>
      <c r="E12" s="10" t="s">
        <v>4</v>
      </c>
      <c r="F12" s="10">
        <v>22</v>
      </c>
      <c r="G12" s="10">
        <v>117</v>
      </c>
      <c r="H12" s="10">
        <v>17553977</v>
      </c>
      <c r="I12" s="21" t="s">
        <v>101</v>
      </c>
      <c r="J12" s="10" t="s">
        <v>96</v>
      </c>
      <c r="K12" s="10">
        <v>36667007</v>
      </c>
      <c r="L12" s="10"/>
      <c r="M12" s="10" t="s">
        <v>96</v>
      </c>
      <c r="N12" s="10">
        <v>36667007</v>
      </c>
      <c r="O12" s="10" t="s">
        <v>112</v>
      </c>
      <c r="P12" s="10">
        <v>39977018</v>
      </c>
      <c r="Q12" s="10" t="s">
        <v>112</v>
      </c>
      <c r="R12" s="10">
        <v>39977018</v>
      </c>
      <c r="S12" s="10">
        <v>102</v>
      </c>
      <c r="T12" s="10">
        <v>403</v>
      </c>
      <c r="U12" s="10">
        <v>404</v>
      </c>
      <c r="V12" s="10" t="s">
        <v>92</v>
      </c>
      <c r="W12" s="10" t="s">
        <v>27</v>
      </c>
      <c r="X12" s="35">
        <v>1997</v>
      </c>
      <c r="Y12" s="36"/>
      <c r="Z12" s="20"/>
      <c r="AA12" s="10"/>
      <c r="AB12" s="10"/>
      <c r="AC12" s="10"/>
    </row>
    <row r="13" spans="1:29" ht="38.25" customHeight="1" x14ac:dyDescent="0.2">
      <c r="A13" s="10">
        <v>9</v>
      </c>
      <c r="B13" s="6" t="s">
        <v>84</v>
      </c>
      <c r="C13" s="6" t="s">
        <v>85</v>
      </c>
      <c r="D13" s="10" t="s">
        <v>2</v>
      </c>
      <c r="E13" s="10" t="s">
        <v>4</v>
      </c>
      <c r="F13" s="10">
        <v>64</v>
      </c>
      <c r="G13" s="10">
        <v>55</v>
      </c>
      <c r="H13" s="10">
        <v>17785795</v>
      </c>
      <c r="I13" s="26" t="s">
        <v>102</v>
      </c>
      <c r="J13" s="10" t="s">
        <v>97</v>
      </c>
      <c r="K13" s="10">
        <v>66764667</v>
      </c>
      <c r="L13" s="10"/>
      <c r="M13" s="10" t="s">
        <v>113</v>
      </c>
      <c r="N13" s="10">
        <v>66764667</v>
      </c>
      <c r="O13" s="10" t="s">
        <v>113</v>
      </c>
      <c r="P13" s="10">
        <v>66764667</v>
      </c>
      <c r="Q13" s="10" t="s">
        <v>114</v>
      </c>
      <c r="R13" s="10">
        <v>39278986</v>
      </c>
      <c r="S13" s="10">
        <v>50</v>
      </c>
      <c r="T13" s="10">
        <v>1101</v>
      </c>
      <c r="U13" s="10">
        <v>711</v>
      </c>
      <c r="V13" s="10" t="s">
        <v>93</v>
      </c>
      <c r="W13" s="10" t="s">
        <v>27</v>
      </c>
      <c r="X13" s="35">
        <v>1993</v>
      </c>
      <c r="Y13" s="36"/>
      <c r="Z13" s="20"/>
      <c r="AA13" s="10"/>
      <c r="AB13" s="10"/>
      <c r="AC13" s="10"/>
    </row>
    <row r="14" spans="1:29" ht="38.25" customHeight="1" x14ac:dyDescent="0.2">
      <c r="A14" s="10">
        <v>10</v>
      </c>
      <c r="B14" s="23" t="s">
        <v>125</v>
      </c>
      <c r="C14" s="24" t="s">
        <v>124</v>
      </c>
      <c r="D14" s="10" t="s">
        <v>3</v>
      </c>
      <c r="E14" s="10" t="s">
        <v>4</v>
      </c>
      <c r="F14" s="10">
        <v>52</v>
      </c>
      <c r="G14" s="10">
        <v>123</v>
      </c>
      <c r="H14" s="10">
        <v>17651516</v>
      </c>
      <c r="I14" s="21" t="s">
        <v>103</v>
      </c>
      <c r="J14" s="10" t="s">
        <v>98</v>
      </c>
      <c r="K14" s="10">
        <v>39334491</v>
      </c>
      <c r="L14" s="10"/>
      <c r="M14" s="10" t="s">
        <v>98</v>
      </c>
      <c r="N14" s="10">
        <v>39334491</v>
      </c>
      <c r="O14" s="10" t="s">
        <v>98</v>
      </c>
      <c r="P14" s="10">
        <v>39334491</v>
      </c>
      <c r="Q14" s="10" t="s">
        <v>104</v>
      </c>
      <c r="R14" s="10">
        <v>66613130</v>
      </c>
      <c r="S14" s="10">
        <v>48</v>
      </c>
      <c r="T14" s="10">
        <v>2302</v>
      </c>
      <c r="U14" s="10">
        <v>923</v>
      </c>
      <c r="V14" s="10" t="s">
        <v>66</v>
      </c>
      <c r="W14" s="10" t="s">
        <v>29</v>
      </c>
      <c r="X14" s="35">
        <v>2012</v>
      </c>
      <c r="Y14" s="36"/>
      <c r="Z14" s="20" t="s">
        <v>105</v>
      </c>
      <c r="AA14" s="22"/>
      <c r="AB14" s="10" t="s">
        <v>106</v>
      </c>
      <c r="AC14" s="10">
        <v>10</v>
      </c>
    </row>
    <row r="15" spans="1:29" ht="45" customHeight="1" x14ac:dyDescent="0.15">
      <c r="A15" s="10">
        <v>11</v>
      </c>
      <c r="B15" s="6" t="s">
        <v>128</v>
      </c>
      <c r="C15" s="6" t="s">
        <v>119</v>
      </c>
      <c r="D15" s="10" t="s">
        <v>2</v>
      </c>
      <c r="E15" s="10" t="s">
        <v>4</v>
      </c>
      <c r="F15" s="35">
        <v>203</v>
      </c>
      <c r="G15" s="36"/>
      <c r="H15" s="10">
        <v>33539955</v>
      </c>
      <c r="I15" s="26" t="s">
        <v>132</v>
      </c>
      <c r="J15" s="10" t="s">
        <v>126</v>
      </c>
      <c r="K15" s="19" t="s">
        <v>127</v>
      </c>
      <c r="L15" s="10"/>
      <c r="M15" s="10" t="s">
        <v>133</v>
      </c>
      <c r="N15" s="10">
        <v>39717227</v>
      </c>
      <c r="O15" s="10" t="s">
        <v>133</v>
      </c>
      <c r="P15" s="10">
        <v>39717227</v>
      </c>
      <c r="Q15" s="10"/>
      <c r="R15" s="10"/>
      <c r="S15" s="10">
        <v>2190</v>
      </c>
      <c r="T15" s="10">
        <v>8321</v>
      </c>
      <c r="U15" s="10">
        <v>583</v>
      </c>
      <c r="V15" s="10" t="s">
        <v>120</v>
      </c>
      <c r="W15" s="10" t="s">
        <v>28</v>
      </c>
      <c r="X15" s="35">
        <v>2025</v>
      </c>
      <c r="Y15" s="36"/>
      <c r="Z15" s="20"/>
      <c r="AA15" s="10"/>
      <c r="AB15" s="10"/>
      <c r="AC15" s="10"/>
    </row>
    <row r="16" spans="1:29" ht="38.25" customHeight="1" x14ac:dyDescent="0.2">
      <c r="A16" s="10">
        <v>12</v>
      </c>
      <c r="B16" s="23" t="s">
        <v>129</v>
      </c>
      <c r="C16" s="24" t="s">
        <v>121</v>
      </c>
      <c r="D16" s="10" t="s">
        <v>2</v>
      </c>
      <c r="E16" s="10" t="s">
        <v>4</v>
      </c>
      <c r="F16" s="35">
        <v>115</v>
      </c>
      <c r="G16" s="36"/>
      <c r="H16" s="21" t="s">
        <v>130</v>
      </c>
      <c r="I16" s="26" t="s">
        <v>131</v>
      </c>
      <c r="J16" s="10" t="s">
        <v>123</v>
      </c>
      <c r="K16" s="19">
        <v>39692123</v>
      </c>
      <c r="L16" s="10"/>
      <c r="M16" s="10" t="s">
        <v>136</v>
      </c>
      <c r="N16" s="10">
        <v>38883627</v>
      </c>
      <c r="O16" s="10" t="s">
        <v>137</v>
      </c>
      <c r="P16" s="19">
        <v>33490060</v>
      </c>
      <c r="Q16" s="10" t="s">
        <v>137</v>
      </c>
      <c r="R16" s="19">
        <v>33490060</v>
      </c>
      <c r="S16" s="10">
        <v>29</v>
      </c>
      <c r="T16" s="10">
        <v>19</v>
      </c>
      <c r="U16" s="10">
        <v>923</v>
      </c>
      <c r="V16" s="10" t="s">
        <v>122</v>
      </c>
      <c r="W16" s="10" t="s">
        <v>29</v>
      </c>
      <c r="X16" s="35">
        <v>2025</v>
      </c>
      <c r="Y16" s="36"/>
      <c r="Z16" s="20"/>
      <c r="AA16" s="22"/>
      <c r="AB16" s="10"/>
      <c r="AC16" s="10"/>
    </row>
    <row r="17" spans="1:30" ht="38.25" customHeight="1" x14ac:dyDescent="0.2">
      <c r="A17" s="10">
        <v>13</v>
      </c>
      <c r="B17" s="23" t="s">
        <v>150</v>
      </c>
      <c r="C17" s="24" t="s">
        <v>157</v>
      </c>
      <c r="D17" s="10" t="s">
        <v>3</v>
      </c>
      <c r="E17" s="10" t="s">
        <v>4</v>
      </c>
      <c r="F17" s="10">
        <v>47</v>
      </c>
      <c r="G17" s="10">
        <v>323</v>
      </c>
      <c r="H17" s="10">
        <v>17687700</v>
      </c>
      <c r="I17" s="32" t="s">
        <v>152</v>
      </c>
      <c r="J17" s="21" t="s">
        <v>153</v>
      </c>
      <c r="K17" s="10">
        <v>39445575</v>
      </c>
      <c r="L17" s="10"/>
      <c r="M17" s="10" t="s">
        <v>154</v>
      </c>
      <c r="N17" s="10">
        <v>33138600</v>
      </c>
      <c r="O17" s="10" t="s">
        <v>154</v>
      </c>
      <c r="P17" s="10">
        <v>33138600</v>
      </c>
      <c r="Q17" s="10" t="s">
        <v>155</v>
      </c>
      <c r="R17" s="10">
        <v>38484387</v>
      </c>
      <c r="S17" s="10">
        <v>625</v>
      </c>
      <c r="T17" s="10">
        <v>77</v>
      </c>
      <c r="U17" s="10">
        <v>729</v>
      </c>
      <c r="V17" s="10" t="s">
        <v>46</v>
      </c>
      <c r="W17" s="10" t="s">
        <v>27</v>
      </c>
      <c r="X17" s="33">
        <v>1996</v>
      </c>
      <c r="Y17" s="34"/>
      <c r="Z17" s="28" t="s">
        <v>158</v>
      </c>
      <c r="AA17" s="22"/>
      <c r="AB17" s="10" t="s">
        <v>156</v>
      </c>
      <c r="AC17" s="21" t="s">
        <v>159</v>
      </c>
    </row>
    <row r="18" spans="1:30" ht="38.25" customHeight="1" x14ac:dyDescent="0.2">
      <c r="A18" s="10">
        <v>14</v>
      </c>
      <c r="B18" s="23" t="s">
        <v>139</v>
      </c>
      <c r="C18" s="23" t="s">
        <v>151</v>
      </c>
      <c r="D18" s="10" t="s">
        <v>3</v>
      </c>
      <c r="E18" s="10" t="s">
        <v>4</v>
      </c>
      <c r="F18" s="10">
        <v>180</v>
      </c>
      <c r="G18" s="10">
        <v>180</v>
      </c>
      <c r="H18" s="10">
        <v>39800900</v>
      </c>
      <c r="I18" s="10" t="s">
        <v>140</v>
      </c>
      <c r="J18" s="21" t="s">
        <v>141</v>
      </c>
      <c r="K18" s="10">
        <v>39463434</v>
      </c>
      <c r="L18" s="10"/>
      <c r="M18" s="21" t="s">
        <v>142</v>
      </c>
      <c r="N18" s="10">
        <v>39778682</v>
      </c>
      <c r="O18" s="10" t="s">
        <v>143</v>
      </c>
      <c r="P18" s="10">
        <v>39778682</v>
      </c>
      <c r="Q18" s="10"/>
      <c r="R18" s="10"/>
      <c r="S18" s="10" t="s">
        <v>144</v>
      </c>
      <c r="T18" s="10">
        <v>2008</v>
      </c>
      <c r="U18" s="10">
        <v>920</v>
      </c>
      <c r="V18" s="10" t="s">
        <v>145</v>
      </c>
      <c r="W18" s="10" t="s">
        <v>29</v>
      </c>
      <c r="X18" s="33">
        <v>2005</v>
      </c>
      <c r="Y18" s="34"/>
      <c r="Z18" s="28" t="s">
        <v>146</v>
      </c>
      <c r="AA18" s="10" t="s">
        <v>147</v>
      </c>
      <c r="AB18" s="21" t="s">
        <v>149</v>
      </c>
      <c r="AC18" s="21" t="s">
        <v>148</v>
      </c>
    </row>
    <row r="19" spans="1:30" ht="24.95" customHeight="1" thickBot="1" x14ac:dyDescent="0.25">
      <c r="X19" s="29"/>
      <c r="Y19" s="29"/>
      <c r="Z19" s="30"/>
      <c r="AA19" s="31"/>
      <c r="AB19" s="9"/>
      <c r="AC19" s="9"/>
      <c r="AD19" s="9"/>
    </row>
    <row r="20" spans="1:30" ht="24.95" customHeight="1" x14ac:dyDescent="0.2">
      <c r="B20" s="37" t="s">
        <v>70</v>
      </c>
      <c r="C20" s="38"/>
      <c r="D20" s="18"/>
    </row>
    <row r="21" spans="1:30" ht="24.95" customHeight="1" x14ac:dyDescent="0.25">
      <c r="B21" s="11" t="s">
        <v>76</v>
      </c>
      <c r="C21" s="12">
        <f>SUM(C22:C24)</f>
        <v>14</v>
      </c>
    </row>
    <row r="22" spans="1:30" ht="24.95" customHeight="1" x14ac:dyDescent="0.25">
      <c r="B22" s="7" t="s">
        <v>3</v>
      </c>
      <c r="C22" s="4">
        <f>COUNTIF(D5:D19,"وطنية")</f>
        <v>7</v>
      </c>
    </row>
    <row r="23" spans="1:30" ht="24.95" customHeight="1" x14ac:dyDescent="0.25">
      <c r="B23" s="7" t="s">
        <v>2</v>
      </c>
      <c r="C23" s="4">
        <f>COUNTIF(D5:D19,"أجنبية")</f>
        <v>7</v>
      </c>
    </row>
    <row r="24" spans="1:30" ht="24.95" customHeight="1" thickBot="1" x14ac:dyDescent="0.3">
      <c r="B24" s="8" t="s">
        <v>6</v>
      </c>
      <c r="C24" s="5">
        <f>COUNTIF(D5:D19,"جاليات")</f>
        <v>0</v>
      </c>
    </row>
    <row r="25" spans="1:30" ht="24.95" customHeight="1" thickBot="1" x14ac:dyDescent="0.25"/>
    <row r="26" spans="1:30" ht="24.95" customHeight="1" x14ac:dyDescent="0.2">
      <c r="B26" s="37" t="s">
        <v>71</v>
      </c>
      <c r="C26" s="38"/>
      <c r="D26" s="18"/>
    </row>
    <row r="27" spans="1:30" ht="24.95" customHeight="1" x14ac:dyDescent="0.25">
      <c r="B27" s="13" t="s">
        <v>4</v>
      </c>
      <c r="C27" s="4">
        <f>COUNTIF(E5:E19,"نشطة")</f>
        <v>14</v>
      </c>
    </row>
    <row r="28" spans="1:30" ht="24.95" customHeight="1" x14ac:dyDescent="0.25">
      <c r="B28" s="14" t="s">
        <v>33</v>
      </c>
      <c r="C28" s="4">
        <f>COUNTIF(E5:E19,"متوقفة عن العمل")</f>
        <v>0</v>
      </c>
    </row>
    <row r="29" spans="1:30" ht="24.95" customHeight="1" x14ac:dyDescent="0.25">
      <c r="B29" s="15" t="s">
        <v>99</v>
      </c>
      <c r="C29" s="4">
        <f>COUNTIF(E5:E19,"تغيير مبنى")</f>
        <v>0</v>
      </c>
    </row>
    <row r="30" spans="1:30" ht="24.95" customHeight="1" thickBot="1" x14ac:dyDescent="0.3">
      <c r="B30" s="16" t="s">
        <v>68</v>
      </c>
      <c r="C30" s="17">
        <f>COUNTIF(E5:E19,"تأجيل دراسة")</f>
        <v>0</v>
      </c>
    </row>
    <row r="31" spans="1:30" ht="24.95" customHeight="1" thickBot="1" x14ac:dyDescent="0.25"/>
    <row r="32" spans="1:30" ht="24.95" customHeight="1" x14ac:dyDescent="0.2">
      <c r="B32" s="37" t="s">
        <v>72</v>
      </c>
      <c r="C32" s="38"/>
      <c r="D32" s="18"/>
    </row>
    <row r="33" spans="2:3" ht="24.95" customHeight="1" x14ac:dyDescent="0.25">
      <c r="B33" s="7" t="s">
        <v>26</v>
      </c>
      <c r="C33" s="4">
        <f>COUNTIF(W5:W19,"محافظة المحرق")</f>
        <v>1</v>
      </c>
    </row>
    <row r="34" spans="2:3" ht="24.95" customHeight="1" x14ac:dyDescent="0.25">
      <c r="B34" s="7" t="s">
        <v>27</v>
      </c>
      <c r="C34" s="4">
        <f>COUNTIF(W5:W19,"محافظة العاصمة")</f>
        <v>4</v>
      </c>
    </row>
    <row r="35" spans="2:3" ht="24.95" customHeight="1" x14ac:dyDescent="0.25">
      <c r="B35" s="7" t="s">
        <v>28</v>
      </c>
      <c r="C35" s="4">
        <f>COUNTIF(W5:W19,"المحافظة الشمالية")</f>
        <v>4</v>
      </c>
    </row>
    <row r="36" spans="2:3" ht="24.95" customHeight="1" thickBot="1" x14ac:dyDescent="0.3">
      <c r="B36" s="8" t="s">
        <v>29</v>
      </c>
      <c r="C36" s="5">
        <f>COUNTIF(W5:W19,"المحافظة الجنوبية")</f>
        <v>5</v>
      </c>
    </row>
  </sheetData>
  <sortState xmlns:xlrd2="http://schemas.microsoft.com/office/spreadsheetml/2017/richdata2" ref="B6:W7">
    <sortCondition sortBy="cellColor" ref="B6:B7" dxfId="4"/>
    <sortCondition sortBy="cellColor" ref="B6:B7" dxfId="3"/>
    <sortCondition sortBy="cellColor" ref="B6:B7" dxfId="2"/>
    <sortCondition sortBy="cellColor" ref="B6:B7" dxfId="1"/>
    <sortCondition sortBy="cellColor" ref="B6:B7" dxfId="0"/>
  </sortState>
  <mergeCells count="52">
    <mergeCell ref="AC3:AC4"/>
    <mergeCell ref="W3:W4"/>
    <mergeCell ref="Z3:Z4"/>
    <mergeCell ref="AA3:AA4"/>
    <mergeCell ref="AB3:AB4"/>
    <mergeCell ref="X3:Y3"/>
    <mergeCell ref="R3:R4"/>
    <mergeCell ref="S3:S4"/>
    <mergeCell ref="T3:T4"/>
    <mergeCell ref="U3:U4"/>
    <mergeCell ref="V3:V4"/>
    <mergeCell ref="M3:M4"/>
    <mergeCell ref="N3:N4"/>
    <mergeCell ref="O3:O4"/>
    <mergeCell ref="P3:P4"/>
    <mergeCell ref="Q3:Q4"/>
    <mergeCell ref="H3:H4"/>
    <mergeCell ref="I3:I4"/>
    <mergeCell ref="J3:J4"/>
    <mergeCell ref="K3:K4"/>
    <mergeCell ref="L3:L4"/>
    <mergeCell ref="B32:C32"/>
    <mergeCell ref="B26:C26"/>
    <mergeCell ref="B20:C20"/>
    <mergeCell ref="F3:G3"/>
    <mergeCell ref="B3:B4"/>
    <mergeCell ref="C3:C4"/>
    <mergeCell ref="D3:D4"/>
    <mergeCell ref="E3:E4"/>
    <mergeCell ref="F5:G5"/>
    <mergeCell ref="F6:G6"/>
    <mergeCell ref="F7:G7"/>
    <mergeCell ref="F8:G8"/>
    <mergeCell ref="F9:G9"/>
    <mergeCell ref="F10:G10"/>
    <mergeCell ref="F11:G11"/>
    <mergeCell ref="F15:G15"/>
    <mergeCell ref="X17:Y17"/>
    <mergeCell ref="X18:Y18"/>
    <mergeCell ref="F16:G16"/>
    <mergeCell ref="X5:Y5"/>
    <mergeCell ref="X6:Y6"/>
    <mergeCell ref="X7:Y7"/>
    <mergeCell ref="X8:Y8"/>
    <mergeCell ref="X9:Y9"/>
    <mergeCell ref="X10:Y10"/>
    <mergeCell ref="X11:Y11"/>
    <mergeCell ref="X12:Y12"/>
    <mergeCell ref="X13:Y13"/>
    <mergeCell ref="X14:Y14"/>
    <mergeCell ref="X15:Y15"/>
    <mergeCell ref="X16:Y16"/>
  </mergeCells>
  <phoneticPr fontId="4" type="noConversion"/>
  <dataValidations count="4">
    <dataValidation type="list" allowBlank="1" showInputMessage="1" showErrorMessage="1" sqref="D5:D19" xr:uid="{00000000-0002-0000-0000-000000000000}">
      <formula1>$B$22:$B$24</formula1>
    </dataValidation>
    <dataValidation type="list" allowBlank="1" showInputMessage="1" showErrorMessage="1" sqref="W5:W16 W18" xr:uid="{00000000-0002-0000-0000-000001000000}">
      <formula1>$B$33:$B$36</formula1>
    </dataValidation>
    <dataValidation type="list" allowBlank="1" showInputMessage="1" showErrorMessage="1" sqref="E5:E18" xr:uid="{00000000-0002-0000-0000-000003000000}">
      <formula1>$B$27:$B$30</formula1>
    </dataValidation>
    <dataValidation type="list" allowBlank="1" showInputMessage="1" showErrorMessage="1" sqref="W17" xr:uid="{04521170-3E9C-4F7B-8E0F-BF803A7110DD}">
      <formula1>$B$185:$B$188</formula1>
    </dataValidation>
  </dataValidations>
  <hyperlinks>
    <hyperlink ref="I6" r:id="rId1" display="saraalhammadi@hotmail.com" xr:uid="{00000000-0004-0000-0000-000000000000}"/>
    <hyperlink ref="I13" r:id="rId2" xr:uid="{00000000-0004-0000-0000-000001000000}"/>
    <hyperlink ref="I11" r:id="rId3" xr:uid="{00000000-0004-0000-0000-000002000000}"/>
    <hyperlink ref="I5" r:id="rId4" xr:uid="{00000000-0004-0000-0000-000003000000}"/>
    <hyperlink ref="I16" r:id="rId5" xr:uid="{E56F51DB-CA46-47B5-94DE-7925A518A473}"/>
    <hyperlink ref="I15" r:id="rId6" xr:uid="{032D2F08-4D4A-494F-9835-C2F39622F10D}"/>
    <hyperlink ref="I17" r:id="rId7" xr:uid="{CEA1D279-B6E8-4AC5-B6AE-C003F146C146}"/>
  </hyperlinks>
  <pageMargins left="0.7" right="0.7" top="0.75" bottom="0.75" header="0.3" footer="0.3"/>
  <pageSetup paperSize="9" orientation="portrait" r:id="rId8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تواصل - مؤسسة شاملة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Noora Alahmed</dc:creator>
  <cp:keywords/>
  <dc:description/>
  <cp:lastModifiedBy>Noora Sabri Alahmed</cp:lastModifiedBy>
  <dcterms:created xsi:type="dcterms:W3CDTF">2020-03-25T05:30:04Z</dcterms:created>
  <dcterms:modified xsi:type="dcterms:W3CDTF">2026-02-17T08:59:47Z</dcterms:modified>
  <cp:category/>
</cp:coreProperties>
</file>