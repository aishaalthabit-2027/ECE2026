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515"/>
  <workbookPr/>
  <mc:AlternateContent xmlns:mc="http://schemas.openxmlformats.org/markup-compatibility/2006">
    <mc:Choice Requires="x15">
      <x15ac:absPath xmlns:x15ac="http://schemas.microsoft.com/office/spreadsheetml/2010/11/ac" url="\\manama.moebh.net\STORAGE\042_KINDERGARTEN_DIRECTORATE\TEAM_01_@042\بيانات مؤسسات التعليم المبكر\بيانات عامة + بيانات التواصل\"/>
    </mc:Choice>
  </mc:AlternateContent>
  <xr:revisionPtr revIDLastSave="0" documentId="8_{17CC55A1-B657-EA4E-B8C4-5FF10725ED8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تواصل - رياض أطفال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73" i="1" l="1"/>
  <c r="C179" i="1"/>
  <c r="C178" i="1"/>
  <c r="C180" i="1"/>
  <c r="C174" i="1"/>
  <c r="C186" i="1"/>
  <c r="C185" i="1"/>
  <c r="C184" i="1"/>
  <c r="C183" i="1"/>
  <c r="C177" i="1"/>
  <c r="C172" i="1"/>
  <c r="C171" i="1"/>
</calcChain>
</file>

<file path=xl/sharedStrings.xml><?xml version="1.0" encoding="utf-8"?>
<sst xmlns="http://schemas.openxmlformats.org/spreadsheetml/2006/main" count="2023" uniqueCount="1178">
  <si>
    <t>مدينة عيسى</t>
  </si>
  <si>
    <t>ماجد الزياني</t>
  </si>
  <si>
    <t>نادي المحرق</t>
  </si>
  <si>
    <t>جزيرة الأطفال</t>
  </si>
  <si>
    <t>الفاروق</t>
  </si>
  <si>
    <t>الزهراء</t>
  </si>
  <si>
    <t>أطفال السلام</t>
  </si>
  <si>
    <t>الهداية</t>
  </si>
  <si>
    <t>روان</t>
  </si>
  <si>
    <t>الغدير</t>
  </si>
  <si>
    <t>العطاء</t>
  </si>
  <si>
    <t>الفاتح النموذجية</t>
  </si>
  <si>
    <t xml:space="preserve">الدانة </t>
  </si>
  <si>
    <t>المجد</t>
  </si>
  <si>
    <t>الرضا</t>
  </si>
  <si>
    <t>البركة (المحرق)</t>
  </si>
  <si>
    <t>البركة (مدينة حمد)</t>
  </si>
  <si>
    <t>الجنان</t>
  </si>
  <si>
    <t>كنوز</t>
  </si>
  <si>
    <t>الشموس</t>
  </si>
  <si>
    <t>البتول</t>
  </si>
  <si>
    <t xml:space="preserve"> الصادق</t>
  </si>
  <si>
    <t xml:space="preserve">الحنان </t>
  </si>
  <si>
    <t>الفرقان</t>
  </si>
  <si>
    <t>سدرة العصافير النموذجية</t>
  </si>
  <si>
    <t>الخير</t>
  </si>
  <si>
    <t>المحبة</t>
  </si>
  <si>
    <t>طريق الخير</t>
  </si>
  <si>
    <t>السندباد</t>
  </si>
  <si>
    <t>الملاك الصغير</t>
  </si>
  <si>
    <t>البيادر</t>
  </si>
  <si>
    <t>الهدى</t>
  </si>
  <si>
    <t>زهور البنفسج</t>
  </si>
  <si>
    <t>الشروق</t>
  </si>
  <si>
    <t>دار الروضة العالمية</t>
  </si>
  <si>
    <t>المبدع الصغير</t>
  </si>
  <si>
    <t>الصفاء</t>
  </si>
  <si>
    <t>الهادي</t>
  </si>
  <si>
    <t>الدعاء</t>
  </si>
  <si>
    <t>البلابل</t>
  </si>
  <si>
    <t>السمات</t>
  </si>
  <si>
    <t>الضحى</t>
  </si>
  <si>
    <t>القمر</t>
  </si>
  <si>
    <t>الولاء</t>
  </si>
  <si>
    <t>القناديل</t>
  </si>
  <si>
    <t>دانات البديع</t>
  </si>
  <si>
    <t>مملكة النحل</t>
  </si>
  <si>
    <t>الأوائل</t>
  </si>
  <si>
    <t>النوراء</t>
  </si>
  <si>
    <t>الفردوس</t>
  </si>
  <si>
    <t>البواسم</t>
  </si>
  <si>
    <t>نور المعارف</t>
  </si>
  <si>
    <t>القدس العربي</t>
  </si>
  <si>
    <t>الحكيم</t>
  </si>
  <si>
    <t>الريان</t>
  </si>
  <si>
    <t>النورين</t>
  </si>
  <si>
    <t>النبراس</t>
  </si>
  <si>
    <t>زهور الغد</t>
  </si>
  <si>
    <t>الربيع</t>
  </si>
  <si>
    <t>كل الأطفال</t>
  </si>
  <si>
    <t>الفجر الجديد</t>
  </si>
  <si>
    <t>الانشراح</t>
  </si>
  <si>
    <t>المرجان</t>
  </si>
  <si>
    <t>الخيرات</t>
  </si>
  <si>
    <t>الضياء</t>
  </si>
  <si>
    <t>الناصرية</t>
  </si>
  <si>
    <t>البدور</t>
  </si>
  <si>
    <t>زينة الحياة</t>
  </si>
  <si>
    <t>The Bahraini British Pre-school</t>
  </si>
  <si>
    <t>الرحاب</t>
  </si>
  <si>
    <t>المستكشف الصغير</t>
  </si>
  <si>
    <t>الثريا</t>
  </si>
  <si>
    <t>المها</t>
  </si>
  <si>
    <t>المزن</t>
  </si>
  <si>
    <t>حديقة الأطفال</t>
  </si>
  <si>
    <t>جنى</t>
  </si>
  <si>
    <t>سارة</t>
  </si>
  <si>
    <t>الصديق</t>
  </si>
  <si>
    <t>الريف</t>
  </si>
  <si>
    <t>علي بابا</t>
  </si>
  <si>
    <t>ركن الأطفال</t>
  </si>
  <si>
    <t>الوداد</t>
  </si>
  <si>
    <t>القبطان الصغير</t>
  </si>
  <si>
    <t>تكوين</t>
  </si>
  <si>
    <t>أجيال المستقبل</t>
  </si>
  <si>
    <t>الفوز</t>
  </si>
  <si>
    <t>شهد</t>
  </si>
  <si>
    <t>الجواهر</t>
  </si>
  <si>
    <t>مهد الازهار</t>
  </si>
  <si>
    <t>One world kindergarten</t>
  </si>
  <si>
    <t>الإشراق</t>
  </si>
  <si>
    <t>أنوار الغدير (2) جدعلي</t>
  </si>
  <si>
    <t>أنوار الغدير (3) عالي</t>
  </si>
  <si>
    <t>أنوار الغدير (4) توبلي</t>
  </si>
  <si>
    <t>أنوار الغدير (1) جدحفص</t>
  </si>
  <si>
    <t>الحنين</t>
  </si>
  <si>
    <t>الرعاية</t>
  </si>
  <si>
    <t>الزلاق</t>
  </si>
  <si>
    <t>الطفل النموذجية</t>
  </si>
  <si>
    <t>الفرح</t>
  </si>
  <si>
    <t>النجاح</t>
  </si>
  <si>
    <t>النهضة</t>
  </si>
  <si>
    <t>الوفاء</t>
  </si>
  <si>
    <t>اليقين</t>
  </si>
  <si>
    <t xml:space="preserve">البشائر </t>
  </si>
  <si>
    <t>الطفولة السعيدة</t>
  </si>
  <si>
    <t xml:space="preserve">مادلين </t>
  </si>
  <si>
    <t xml:space="preserve">لآلئ البحرين </t>
  </si>
  <si>
    <t>Pink and Blue</t>
  </si>
  <si>
    <t>هيا نبدأ</t>
  </si>
  <si>
    <t>الهوية</t>
  </si>
  <si>
    <t>الحالة</t>
  </si>
  <si>
    <t>أجنبية</t>
  </si>
  <si>
    <t>وطنية</t>
  </si>
  <si>
    <t>متوقفة</t>
  </si>
  <si>
    <t>نشطة</t>
  </si>
  <si>
    <t>الطلائع</t>
  </si>
  <si>
    <t>Alwisam Juniors</t>
  </si>
  <si>
    <t xml:space="preserve">Eton House </t>
  </si>
  <si>
    <t>Little Swan</t>
  </si>
  <si>
    <t>بدور الغد</t>
  </si>
  <si>
    <t>لؤلؤة الخليج العربي</t>
  </si>
  <si>
    <t>Madarek</t>
  </si>
  <si>
    <t>Happy Hearts</t>
  </si>
  <si>
    <t>Miles of Smiles</t>
  </si>
  <si>
    <t>الأنوار</t>
  </si>
  <si>
    <t>قرية الصغار</t>
  </si>
  <si>
    <t>واحة الأطفال</t>
  </si>
  <si>
    <t>أركان</t>
  </si>
  <si>
    <t xml:space="preserve">Positive Steps </t>
  </si>
  <si>
    <t>Tylos</t>
  </si>
  <si>
    <t xml:space="preserve">Sam </t>
  </si>
  <si>
    <t>قرية الأطفال</t>
  </si>
  <si>
    <t>الإمام الحسن</t>
  </si>
  <si>
    <t>الإمام محمد بن سعود</t>
  </si>
  <si>
    <t>الأنجال</t>
  </si>
  <si>
    <t>الزنج الجديدة</t>
  </si>
  <si>
    <t>بهجة الصغار</t>
  </si>
  <si>
    <t>الساية</t>
  </si>
  <si>
    <t>#</t>
  </si>
  <si>
    <t>أطفالنا</t>
  </si>
  <si>
    <t>الخطوة الأولى</t>
  </si>
  <si>
    <t>جاليات</t>
  </si>
  <si>
    <t>مجموع رياض الأطفال</t>
  </si>
  <si>
    <t xml:space="preserve">عدد رياض الأطفال </t>
  </si>
  <si>
    <t>Kidz World</t>
  </si>
  <si>
    <t>حالة رياض الأطفال</t>
  </si>
  <si>
    <t>رقم الترخيص</t>
  </si>
  <si>
    <t>تاريخ الترخيص</t>
  </si>
  <si>
    <t>عدد غرف التعلم</t>
  </si>
  <si>
    <t>رقم هاتف الروضة</t>
  </si>
  <si>
    <t>E-mail</t>
  </si>
  <si>
    <t>اسم المالك</t>
  </si>
  <si>
    <t>رقم هاتف المالك</t>
  </si>
  <si>
    <t>اسم المديرة</t>
  </si>
  <si>
    <t>رقم هاتف المديرة</t>
  </si>
  <si>
    <t>اسم الشخص المعني بالتواصل مع الإدارة</t>
  </si>
  <si>
    <t>رقم هاتف الشخص المعني بالتواصل مع الإدارة</t>
  </si>
  <si>
    <t>اسم الشخص المعني بإدخال البيانات</t>
  </si>
  <si>
    <t>رقم هاتف الشخص المعني بإدخال البيانات</t>
  </si>
  <si>
    <t>مبنى</t>
  </si>
  <si>
    <t>طريق</t>
  </si>
  <si>
    <t>مجمع</t>
  </si>
  <si>
    <t>المنطقة</t>
  </si>
  <si>
    <t>المحافظة</t>
  </si>
  <si>
    <t>abjadhawaz@hotmail.co.uk</t>
  </si>
  <si>
    <t xml:space="preserve">خديجة عبدالله علي مدن </t>
  </si>
  <si>
    <t xml:space="preserve">العكر الغربي  </t>
  </si>
  <si>
    <t>34469440 - 17467790</t>
  </si>
  <si>
    <t>al.ehssankg@hotmail.com</t>
  </si>
  <si>
    <t>ناهد أحمد الجودر</t>
  </si>
  <si>
    <t>الرميصاء فوزي عبدالله الحميدي</t>
  </si>
  <si>
    <t>عراد</t>
  </si>
  <si>
    <t>المحرق</t>
  </si>
  <si>
    <t xml:space="preserve">أسماء حسن عبداللة الحواج </t>
  </si>
  <si>
    <t xml:space="preserve">توبلي </t>
  </si>
  <si>
    <t xml:space="preserve"> الإحسان</t>
  </si>
  <si>
    <t>17441229 - 17441228</t>
  </si>
  <si>
    <t>Al.hassan99h@outlook.com</t>
  </si>
  <si>
    <t xml:space="preserve">دار كليب </t>
  </si>
  <si>
    <t>فاطمة علي عيسى</t>
  </si>
  <si>
    <t>حليمة عبدعلي العم</t>
  </si>
  <si>
    <t>فاطمة محمد عبدالحسين</t>
  </si>
  <si>
    <t>17770423-17490461</t>
  </si>
  <si>
    <t xml:space="preserve">info@alimamkg.edu.bh </t>
  </si>
  <si>
    <t xml:space="preserve">أسماء صبحي عبدالحميد ابراهيم </t>
  </si>
  <si>
    <t>سارة عقيل مسعد الطيري</t>
  </si>
  <si>
    <t xml:space="preserve">سارة عقيل مسعد الطيري </t>
  </si>
  <si>
    <t>36626650-17490461</t>
  </si>
  <si>
    <t>الرفاع الشرقي</t>
  </si>
  <si>
    <t>albatool1997@gmail.com</t>
  </si>
  <si>
    <t>عفيفة خليل هاشم</t>
  </si>
  <si>
    <t xml:space="preserve">منى ابراهيم رضي </t>
  </si>
  <si>
    <t xml:space="preserve">سترة </t>
  </si>
  <si>
    <t xml:space="preserve">وفاء محمد بهلول </t>
  </si>
  <si>
    <t>ندى عوض بن حويل</t>
  </si>
  <si>
    <t>17332488 - 39532230</t>
  </si>
  <si>
    <t xml:space="preserve">المحرق </t>
  </si>
  <si>
    <t xml:space="preserve"> </t>
  </si>
  <si>
    <t>albashaer-kg@hotmail.com</t>
  </si>
  <si>
    <t>علي محمد المحميد</t>
  </si>
  <si>
    <t>شريفة عبدالرحمن الشنو</t>
  </si>
  <si>
    <t>39551138/ 17672257</t>
  </si>
  <si>
    <t xml:space="preserve">عراد </t>
  </si>
  <si>
    <t>albalabel2002kg@gmail.com</t>
  </si>
  <si>
    <t>كاظمية حسن حسين محمد</t>
  </si>
  <si>
    <t>36584997 /17465539</t>
  </si>
  <si>
    <t>الدير</t>
  </si>
  <si>
    <t>1248/م ع ن /2009</t>
  </si>
  <si>
    <t>albawasim@hotmail.com</t>
  </si>
  <si>
    <t>فاطمة علي مكي</t>
  </si>
  <si>
    <t>aljenan95@gmail.com</t>
  </si>
  <si>
    <t>بتول أحمد سلمان</t>
  </si>
  <si>
    <t>منى علي محمد</t>
  </si>
  <si>
    <t xml:space="preserve">مدينة حمد </t>
  </si>
  <si>
    <t>aljawaherkg@gmail.com</t>
  </si>
  <si>
    <t>زهراء محسن محمد العصفور</t>
  </si>
  <si>
    <t>جمعية الهلال الاحمر البحريني</t>
  </si>
  <si>
    <t>مريم محمد سعد المهنا</t>
  </si>
  <si>
    <t>35327933-17723494</t>
  </si>
  <si>
    <t>الجفير</t>
  </si>
  <si>
    <t>aldana_preschool@hotmail.com</t>
  </si>
  <si>
    <t>زبيدة محمد البلوشي</t>
  </si>
  <si>
    <t>فاطمة صلاح علي فضل الله أحمد</t>
  </si>
  <si>
    <t xml:space="preserve">الرفاع الشرقي - بوكوارة </t>
  </si>
  <si>
    <t>جيهان يوسف حسن ساتر</t>
  </si>
  <si>
    <t>عبلة مجدي عبدالحميد</t>
  </si>
  <si>
    <t xml:space="preserve">مدينة عيسى </t>
  </si>
  <si>
    <t>17179373 / 39252862</t>
  </si>
  <si>
    <t>rawan.preschool@gmail.com</t>
  </si>
  <si>
    <t>13663666 - 17630062</t>
  </si>
  <si>
    <t>zallaqk@gmail.com</t>
  </si>
  <si>
    <t>عائشة عبدالرحمن أحمد المطاوعة</t>
  </si>
  <si>
    <t>سحر محمد أحمد حسين</t>
  </si>
  <si>
    <t>alzahraakg@gmail.com</t>
  </si>
  <si>
    <t>وداد عبدالرحيم سلمان عبداللطيف البناء</t>
  </si>
  <si>
    <t>عقيلة عبدالوهاب حسين اسماعيل</t>
  </si>
  <si>
    <t xml:space="preserve">النويدرات </t>
  </si>
  <si>
    <t>info.bnfsaj@gmail.com</t>
  </si>
  <si>
    <t>فاطمة حسين السعيد</t>
  </si>
  <si>
    <t>علي عاشور عبدالله</t>
  </si>
  <si>
    <t>كرباباد</t>
  </si>
  <si>
    <t>33414014/17600332</t>
  </si>
  <si>
    <t xml:space="preserve">مريم محمد ابراهيم </t>
  </si>
  <si>
    <t xml:space="preserve">المالكية </t>
  </si>
  <si>
    <t>sedratalasafeer@gmail.com</t>
  </si>
  <si>
    <t>عبدالعزيز أحمد لوري</t>
  </si>
  <si>
    <t xml:space="preserve">بثينة عبدالله أمين </t>
  </si>
  <si>
    <t>مروة ثامر كمال</t>
  </si>
  <si>
    <t>alsedeeq.kids@gmail.com</t>
  </si>
  <si>
    <t>د.امل محمد عبيد</t>
  </si>
  <si>
    <t xml:space="preserve">الاء محمد خنجي </t>
  </si>
  <si>
    <t>alsafakinder@gmail.com</t>
  </si>
  <si>
    <t>وفاء عيسى البلوشي</t>
  </si>
  <si>
    <t>عائشة محمد يوسف/ نداء سعيد محمد</t>
  </si>
  <si>
    <t>33113816/39266606</t>
  </si>
  <si>
    <t>نداء سعيد محمد مناصرة</t>
  </si>
  <si>
    <t>الرفاع</t>
  </si>
  <si>
    <t>modelkindergartenbh@gmail.com</t>
  </si>
  <si>
    <t xml:space="preserve">جبلة حبشي </t>
  </si>
  <si>
    <t>Happy_childhood_kindergarten@hotmail.com</t>
  </si>
  <si>
    <t>فاطمة عيسى احمد الغتم</t>
  </si>
  <si>
    <t>جنى محمد جاسم الغتم</t>
  </si>
  <si>
    <t xml:space="preserve">الرفاع الغربي </t>
  </si>
  <si>
    <t>ali.baba.kg@hotmail.com</t>
  </si>
  <si>
    <t>فرح عبدالوهاب عيسى يوسف الخياط</t>
  </si>
  <si>
    <t>زهراء أحمد علي العابد</t>
  </si>
  <si>
    <t xml:space="preserve">سند </t>
  </si>
  <si>
    <t>دار روضة العهد</t>
  </si>
  <si>
    <t>فاطمة محمد عبدالرحيم فخرو</t>
  </si>
  <si>
    <t xml:space="preserve">alfatehpreschool@gmail.com </t>
  </si>
  <si>
    <t xml:space="preserve">ليلى علي الهاشمي </t>
  </si>
  <si>
    <t>خلود صالح قاسم المحقني</t>
  </si>
  <si>
    <t xml:space="preserve">خلود صالح قاسم المحقني </t>
  </si>
  <si>
    <t xml:space="preserve">ام الحصم </t>
  </si>
  <si>
    <t>kg.alfurqan@gmail.com</t>
  </si>
  <si>
    <t>فاطمة صالح سالم البراهيم</t>
  </si>
  <si>
    <t>نور سالم البراهيم</t>
  </si>
  <si>
    <t xml:space="preserve">الرفاع الشرقي </t>
  </si>
  <si>
    <t>17491111 / 32144111</t>
  </si>
  <si>
    <t>alfowzkg@gmail.com</t>
  </si>
  <si>
    <t>الحد</t>
  </si>
  <si>
    <t>روعه عيسى الكبيسي</t>
  </si>
  <si>
    <t>130931-1</t>
  </si>
  <si>
    <t>39428286 / 17467852</t>
  </si>
  <si>
    <t>littlecaptinkindergaten@gmail.com</t>
  </si>
  <si>
    <t>سميحة منصور أحمد ناصر</t>
  </si>
  <si>
    <t xml:space="preserve">دانة عبد الكريم عيسى طريف </t>
  </si>
  <si>
    <t>صدد</t>
  </si>
  <si>
    <t>33233544 - 17008737</t>
  </si>
  <si>
    <t>نيلة محمد علي الجلاهمة</t>
  </si>
  <si>
    <t>فرح الكبيسي</t>
  </si>
  <si>
    <t>خولة عبدالعزيز حساني</t>
  </si>
  <si>
    <t>lamara.preschool@gmail.com</t>
  </si>
  <si>
    <t>BURAN AL ANSARI</t>
  </si>
  <si>
    <t xml:space="preserve">سار </t>
  </si>
  <si>
    <t>Apg_kindergarten@apgschool.com</t>
  </si>
  <si>
    <t>مريم ادريس ابوادريس</t>
  </si>
  <si>
    <t xml:space="preserve">البلاد القديم </t>
  </si>
  <si>
    <t>84/355/376</t>
  </si>
  <si>
    <t>majid.alzayani@gmail.com</t>
  </si>
  <si>
    <t>جمعية رعاية الطفل والأمومة</t>
  </si>
  <si>
    <t>رجاء عبدالرحمن</t>
  </si>
  <si>
    <t>smallkgcreator@gmail.com</t>
  </si>
  <si>
    <t>ردينة أحمد أحمد السماك</t>
  </si>
  <si>
    <t>صديقة السيدسلمان محمد</t>
  </si>
  <si>
    <t>فؤاد محمد جاسم  سيادي</t>
  </si>
  <si>
    <t>أمينة على أحمد</t>
  </si>
  <si>
    <t>أمينة عيسى المحميد</t>
  </si>
  <si>
    <t>البستين</t>
  </si>
  <si>
    <t>isatownkg76@gmail.com</t>
  </si>
  <si>
    <t>نيرمين محمد عبدالشافي</t>
  </si>
  <si>
    <t>فاطمة محمد</t>
  </si>
  <si>
    <t>1204/م ع ن /2015</t>
  </si>
  <si>
    <t>غنية عيسى نوح</t>
  </si>
  <si>
    <t>زينب عباس أحمد</t>
  </si>
  <si>
    <t xml:space="preserve">شارع زيد بن عميرة </t>
  </si>
  <si>
    <t>1276/ م ع ن /2016</t>
  </si>
  <si>
    <t>17422333 - 17422230</t>
  </si>
  <si>
    <t>almozn_1@hotmail.com</t>
  </si>
  <si>
    <t xml:space="preserve">اعتماد محمد سويلم عامر </t>
  </si>
  <si>
    <t xml:space="preserve">نورهان طلال غازي </t>
  </si>
  <si>
    <t xml:space="preserve"> البسيتين / الساية</t>
  </si>
  <si>
    <t>alnahalkg@gmail.com</t>
  </si>
  <si>
    <t>عتاب عيسي حسن ناصر</t>
  </si>
  <si>
    <t>عبير عيسى حسن ناصر</t>
  </si>
  <si>
    <t>عالي</t>
  </si>
  <si>
    <t xml:space="preserve">almaha.kg@hotmail.com </t>
  </si>
  <si>
    <t>خلود حميد عقلة العنزي</t>
  </si>
  <si>
    <t>سمر السميع</t>
  </si>
  <si>
    <t>سمر عبدالحسين السميع</t>
  </si>
  <si>
    <t>ashwaq.alammadi@gmail.com</t>
  </si>
  <si>
    <t xml:space="preserve">نادي المحرق الرياضي </t>
  </si>
  <si>
    <t>أشواق إبراهيم العمادي</t>
  </si>
  <si>
    <t>الشيخ إبراهيم بن محمد</t>
  </si>
  <si>
    <t>alnasiriyah2008@gmail.com</t>
  </si>
  <si>
    <t>سهير عبد الرضا كاظم</t>
  </si>
  <si>
    <t>17760327 - 39933716</t>
  </si>
  <si>
    <t>جمعية نهضة فتاة البحرين</t>
  </si>
  <si>
    <t>نجلاء  عبدالجبار العنيسي</t>
  </si>
  <si>
    <t>نجلاء عبدالجبار العنيسي</t>
  </si>
  <si>
    <t>alnawrapreschool@gmail.com</t>
  </si>
  <si>
    <t>فاطمة عبدالله علي</t>
  </si>
  <si>
    <t>alhidayakinder@hotmail.com</t>
  </si>
  <si>
    <t>آمال محمد أبوالفتح</t>
  </si>
  <si>
    <t xml:space="preserve">شارع الشيخ خليفة </t>
  </si>
  <si>
    <t xml:space="preserve">البسيتين </t>
  </si>
  <si>
    <t>alwafa.kindergarten@gmail.com</t>
  </si>
  <si>
    <t>لولوة أحمد أبو الفتح</t>
  </si>
  <si>
    <t>باسمة محمد الجودر</t>
  </si>
  <si>
    <t>77082017/ 32220723</t>
  </si>
  <si>
    <t>INFO@HAPPYHEARTSKG.COM / SMARTSKILLS.BH@GMAIL.COM</t>
  </si>
  <si>
    <t>RUCHI SHARMA</t>
  </si>
  <si>
    <t>ZAHRA KAYED</t>
  </si>
  <si>
    <t>سند</t>
  </si>
  <si>
    <t>madarekkindergarten@gmail.com</t>
  </si>
  <si>
    <t xml:space="preserve">نورة المطوع </t>
  </si>
  <si>
    <t xml:space="preserve">قلالي </t>
  </si>
  <si>
    <t>vanguardpreschool@gmail.com</t>
  </si>
  <si>
    <t>جميلة حميد القلاليف</t>
  </si>
  <si>
    <t>صفا حميد</t>
  </si>
  <si>
    <t xml:space="preserve">المرخ </t>
  </si>
  <si>
    <t>640 / م ع ن / 2020</t>
  </si>
  <si>
    <t>jr.administration.officer@awis.edu.bh</t>
  </si>
  <si>
    <t>Ms. Lamya Sayed Adnan AlNoaimi</t>
  </si>
  <si>
    <t>Ms. Fatima Asaad</t>
  </si>
  <si>
    <t>محمد عادل فخرو أكاديميا انتربايزس</t>
  </si>
  <si>
    <t>m.ofsmileskindergarten@gmail.com</t>
  </si>
  <si>
    <t>Pathage Mary Shamane Jayawarden</t>
  </si>
  <si>
    <t>Revathy Radhakrishnan Nair</t>
  </si>
  <si>
    <t xml:space="preserve">البحير </t>
  </si>
  <si>
    <t>32078832-17686171</t>
  </si>
  <si>
    <t>Budooralghadkg@hotmail.com</t>
  </si>
  <si>
    <t>جميل عبدالأمير عبدالله أحمد الحلواجي</t>
  </si>
  <si>
    <t>مريم محمد إبراهيم</t>
  </si>
  <si>
    <t>THEKIDSVILLAGE.2021@GMAIL.COM</t>
  </si>
  <si>
    <t>سكينة صالح محسن ضيف</t>
  </si>
  <si>
    <t>فاطمة صالح محسن ضيف</t>
  </si>
  <si>
    <t>أميرة صالح محسن ضيف</t>
  </si>
  <si>
    <t>childrenoasis1@gmail.com</t>
  </si>
  <si>
    <t>بسمة السيد سعيد علوي</t>
  </si>
  <si>
    <t>وفاء مكي عبد الحسين الإسكافي</t>
  </si>
  <si>
    <t>القرية</t>
  </si>
  <si>
    <t>138434-2</t>
  </si>
  <si>
    <t>arkankg2@gmail.com</t>
  </si>
  <si>
    <t>حمد صالح المناعي</t>
  </si>
  <si>
    <t>شيخة خلف الدوسري</t>
  </si>
  <si>
    <t xml:space="preserve">الرفاع </t>
  </si>
  <si>
    <t>Sogra Saeed Hasan</t>
  </si>
  <si>
    <t xml:space="preserve">البديع </t>
  </si>
  <si>
    <t>tyloskindergarten21@gmail.com</t>
  </si>
  <si>
    <t>kidsvillagepreschool@gmail.com</t>
  </si>
  <si>
    <t>أحمد يوسف الشيخ آل مبارك</t>
  </si>
  <si>
    <t xml:space="preserve">بوري </t>
  </si>
  <si>
    <t>joyskidsbh@hotmail.com</t>
  </si>
  <si>
    <t xml:space="preserve">لطيفة جاسم الغتم </t>
  </si>
  <si>
    <t>لطيفة جاسم الغتم</t>
  </si>
  <si>
    <t>39698122/34155441</t>
  </si>
  <si>
    <t>32225296 / 32225297</t>
  </si>
  <si>
    <t>alenshirah@gmail.com</t>
  </si>
  <si>
    <t>رقية أحمد عبدالرضا الكنكوني</t>
  </si>
  <si>
    <t>زينب مهدي القفاص</t>
  </si>
  <si>
    <t>زينب مهدزينب مهدي القفاص</t>
  </si>
  <si>
    <t>زينب مهدي القفاص - حورية عبدالرسول</t>
  </si>
  <si>
    <t>39535276 - 39308383</t>
  </si>
  <si>
    <t xml:space="preserve">القرية </t>
  </si>
  <si>
    <t>إيمان سعيد الزيرة</t>
  </si>
  <si>
    <t>سهيلة عيسى أحمد</t>
  </si>
  <si>
    <t>جدحفص</t>
  </si>
  <si>
    <t>19343-7</t>
  </si>
  <si>
    <t>aagk.bh@gmail.com</t>
  </si>
  <si>
    <t>ايمان سعيد الزيرة</t>
  </si>
  <si>
    <t>زينب صالح مهدي</t>
  </si>
  <si>
    <t xml:space="preserve">عالي </t>
  </si>
  <si>
    <t>جدعلي</t>
  </si>
  <si>
    <t>ايمان سعيد</t>
  </si>
  <si>
    <t>رابحة علي</t>
  </si>
  <si>
    <t xml:space="preserve">زينب علي كاظم </t>
  </si>
  <si>
    <t xml:space="preserve">ايمان سعيد الزيرة </t>
  </si>
  <si>
    <t xml:space="preserve">زينب علي كاظم احمد </t>
  </si>
  <si>
    <t>توبلي</t>
  </si>
  <si>
    <t>17783804 - 39883338</t>
  </si>
  <si>
    <t>alawael.kindergarten@gmail.com</t>
  </si>
  <si>
    <t>ابتسام عمر حسن</t>
  </si>
  <si>
    <t>فاطمة فاضل إبراهيم</t>
  </si>
  <si>
    <t>17596165 - 33411345</t>
  </si>
  <si>
    <t>janapreschoolbh@gmail.com</t>
  </si>
  <si>
    <t>فاطمة ناصر احمد ناصر</t>
  </si>
  <si>
    <t xml:space="preserve">بدرية رضي منصور سباع </t>
  </si>
  <si>
    <t xml:space="preserve">رباب رضي علي عباس الأسود </t>
  </si>
  <si>
    <t>1684-1686</t>
  </si>
  <si>
    <t>المقشع</t>
  </si>
  <si>
    <t>gardenchild3@hotmail.com</t>
  </si>
  <si>
    <t>سعدة عبدالله حسن متروك</t>
  </si>
  <si>
    <t>منال عبدالنبي أحمد حسن</t>
  </si>
  <si>
    <t xml:space="preserve">العكر الغربي </t>
  </si>
  <si>
    <t>alhakeem14@gmail.com</t>
  </si>
  <si>
    <t>هناء احمد رضي</t>
  </si>
  <si>
    <t>أمينة عبدالرسول كاظم الفرساني</t>
  </si>
  <si>
    <t>السهلة</t>
  </si>
  <si>
    <t>alkhairbh@hotmail.com</t>
  </si>
  <si>
    <t>نعيمة محمد الحمد</t>
  </si>
  <si>
    <t>ساجدة ال مبارك</t>
  </si>
  <si>
    <t xml:space="preserve">ساجدة عبدالهادي ال مبارك </t>
  </si>
  <si>
    <t>Danat-Al-Budaiya@hotmail.com</t>
  </si>
  <si>
    <t>منى أحمد عبدالله الحمر</t>
  </si>
  <si>
    <t xml:space="preserve">فوزية محسن العصفور </t>
  </si>
  <si>
    <t>زهراء عبدالله حسين</t>
  </si>
  <si>
    <t>المعامير</t>
  </si>
  <si>
    <t>نبأ يوسف عيسى باقر</t>
  </si>
  <si>
    <t xml:space="preserve">نبأ يوسف عيسى باقر </t>
  </si>
  <si>
    <t>admin@shorooq-bh.com</t>
  </si>
  <si>
    <t>هيام خليفة البنخليل</t>
  </si>
  <si>
    <t>alsadeq-kg@hotmail.com</t>
  </si>
  <si>
    <t>ابتسام جاسم مكي حبيل</t>
  </si>
  <si>
    <t>أسيا جاسم عبدالله</t>
  </si>
  <si>
    <t xml:space="preserve">أسيا جاسم عبدالله </t>
  </si>
  <si>
    <t>allkids2008@gmail.com</t>
  </si>
  <si>
    <t>انتصار عبدالكريم محمد متروك</t>
  </si>
  <si>
    <t xml:space="preserve"> 39536303 / 17720527</t>
  </si>
  <si>
    <t>إنتصار عبدالكريم محمد متروك</t>
  </si>
  <si>
    <t>39536303/ 39034948/ 17720527</t>
  </si>
  <si>
    <t>بوعشيرة</t>
  </si>
  <si>
    <t>118895-1</t>
  </si>
  <si>
    <t>mahdalazhar.kg@gmail.com</t>
  </si>
  <si>
    <t>سمية حسن أحمد حسن عبدعلي</t>
  </si>
  <si>
    <t xml:space="preserve">سمية حسن أحمد حسن عبدعلي </t>
  </si>
  <si>
    <t>new.dawn.kg@gmail.com</t>
  </si>
  <si>
    <t>منيرة عبدالرحمن محمد السبيعي</t>
  </si>
  <si>
    <t>رانية ابراهيم الدوسري</t>
  </si>
  <si>
    <t>fatytaqi4@gmail.com</t>
  </si>
  <si>
    <t>فاطمة محمد تقي</t>
  </si>
  <si>
    <t>حفيظة مراد محمد مراد</t>
  </si>
  <si>
    <t>حفيظة مراد محمد</t>
  </si>
  <si>
    <t>مدينة حمد</t>
  </si>
  <si>
    <t>17723153 / 39149797</t>
  </si>
  <si>
    <t xml:space="preserve">alwaady.bah@gmail.com </t>
  </si>
  <si>
    <t>رضوانة عبدالرحمن أحمد يوسف</t>
  </si>
  <si>
    <t>فاطمة خالد محمد مطر</t>
  </si>
  <si>
    <t>زهر الياسمين</t>
  </si>
  <si>
    <t>رقم السجل التجاري</t>
  </si>
  <si>
    <t>69338-3</t>
  </si>
  <si>
    <t>103687-2</t>
  </si>
  <si>
    <t>5198-9</t>
  </si>
  <si>
    <t>محافظة المحرق</t>
  </si>
  <si>
    <t>محافظة العاصمة</t>
  </si>
  <si>
    <t>المحافظة الشمالية</t>
  </si>
  <si>
    <t>المحافظة الجنوبية</t>
  </si>
  <si>
    <t>عدد رياض الأطفال في كل محافظة</t>
  </si>
  <si>
    <t>مريم سالم جاسم العثمان الدوسري</t>
  </si>
  <si>
    <t>118600-1</t>
  </si>
  <si>
    <t>alanjalkindergarten@hotmail.com</t>
  </si>
  <si>
    <t>ضياء السيد هاشم السادة</t>
  </si>
  <si>
    <t>هاجر عبدالعزيز يوسف</t>
  </si>
  <si>
    <t>123244-1</t>
  </si>
  <si>
    <t>33927063 - 33312673</t>
  </si>
  <si>
    <t>ajyalalmstqbl.19@gmail.com</t>
  </si>
  <si>
    <t>الرفاع الشرقي/البحير</t>
  </si>
  <si>
    <t>35057933/33927063</t>
  </si>
  <si>
    <t>مي فريد أحمد</t>
  </si>
  <si>
    <t>awalkids@gmail.com</t>
  </si>
  <si>
    <t>جمعية أوال النسائية</t>
  </si>
  <si>
    <t>19343-6</t>
  </si>
  <si>
    <t>19343 - 5</t>
  </si>
  <si>
    <t>75885-2</t>
  </si>
  <si>
    <t>33177038/ 39883338</t>
  </si>
  <si>
    <t>27128-2</t>
  </si>
  <si>
    <t xml:space="preserve">سامية حسن علي الكليتي </t>
  </si>
  <si>
    <t>105505-1</t>
  </si>
  <si>
    <t>albudoorkindergarden@gmail.com</t>
  </si>
  <si>
    <t xml:space="preserve">سامية حسن علي حسن الكليتي </t>
  </si>
  <si>
    <t>مدينة حمد (دوار 4)</t>
  </si>
  <si>
    <t>البراعم المتفتحة</t>
  </si>
  <si>
    <t xml:space="preserve">Al.barakakg.1994@hotmail.com </t>
  </si>
  <si>
    <t xml:space="preserve">فاطمه مبارك جمعه </t>
  </si>
  <si>
    <t>5893-10</t>
  </si>
  <si>
    <t>93493-2</t>
  </si>
  <si>
    <t>19343-3</t>
  </si>
  <si>
    <t>19343-4</t>
  </si>
  <si>
    <t>26564-2</t>
  </si>
  <si>
    <t>بشائر جعفر</t>
  </si>
  <si>
    <t>صفاء السيد محمود عبدالرحمن الهاشمي</t>
  </si>
  <si>
    <t>جمعية مدينة حمد الخيرية</t>
  </si>
  <si>
    <t>هدى سلطان المالكي</t>
  </si>
  <si>
    <t>Children's House Kindergarten W.L.L.</t>
  </si>
  <si>
    <t>100953-1</t>
  </si>
  <si>
    <t>admin@thechildrenshousebahrain.com</t>
  </si>
  <si>
    <t>البديع</t>
  </si>
  <si>
    <t>جمعية مدينة حمد الخيرية الاجتماعية</t>
  </si>
  <si>
    <t>115182-2</t>
  </si>
  <si>
    <t>84449-2</t>
  </si>
  <si>
    <t>النبيه صالح</t>
  </si>
  <si>
    <t>107935 - 1</t>
  </si>
  <si>
    <t>19074-3</t>
  </si>
  <si>
    <t xml:space="preserve"> شهربان محمد علي حسن</t>
  </si>
  <si>
    <t>alhaneen.kindergarten@gmail.com</t>
  </si>
  <si>
    <t>39683355 / 36680008</t>
  </si>
  <si>
    <t>17068-4</t>
  </si>
  <si>
    <t xml:space="preserve">الخليج </t>
  </si>
  <si>
    <t>زهرة أحمد جهرمي</t>
  </si>
  <si>
    <t>فريدة عبدالعزيز الطويل</t>
  </si>
  <si>
    <t>gulfkindergarten@gmail.com</t>
  </si>
  <si>
    <t>15832-3</t>
  </si>
  <si>
    <t>فاطمة حسين خميس حسن</t>
  </si>
  <si>
    <t>86533-2</t>
  </si>
  <si>
    <t>بتول السيدجعفر محمد هاشم</t>
  </si>
  <si>
    <t>جد الحاج</t>
  </si>
  <si>
    <t>دار الطفل</t>
  </si>
  <si>
    <t>123771-1</t>
  </si>
  <si>
    <t>18524-4</t>
  </si>
  <si>
    <t>36388-2</t>
  </si>
  <si>
    <t>alduaakg@hotmail.com</t>
  </si>
  <si>
    <t>رباب يوسف عيسى الشهابي</t>
  </si>
  <si>
    <t>علياء جعفر النشابة</t>
  </si>
  <si>
    <t>جبلة حبشي</t>
  </si>
  <si>
    <t>96867-3</t>
  </si>
  <si>
    <t>مروة جمعة جاسم</t>
  </si>
  <si>
    <t>116814-2</t>
  </si>
  <si>
    <t>alredhakg@hotmail.com</t>
  </si>
  <si>
    <t>ندى جمعة جاسم</t>
  </si>
  <si>
    <t>بوري</t>
  </si>
  <si>
    <t>112291-3</t>
  </si>
  <si>
    <t>info@kidscornerbah.com</t>
  </si>
  <si>
    <t>120970-1</t>
  </si>
  <si>
    <t>بوقوة</t>
  </si>
  <si>
    <t>عبدالحسين حسن سلمان الزاير</t>
  </si>
  <si>
    <t>مينا طاهري</t>
  </si>
  <si>
    <t>يسرى حميد أكبر</t>
  </si>
  <si>
    <t>منى رشيد جاسم</t>
  </si>
  <si>
    <t>102448-1</t>
  </si>
  <si>
    <t>39759759- 17633555
17633556- 17633557</t>
  </si>
  <si>
    <t>رشيد جاسم عاشور</t>
  </si>
  <si>
    <t>86117-5</t>
  </si>
  <si>
    <t>110214-1</t>
  </si>
  <si>
    <t>106775-1</t>
  </si>
  <si>
    <t>zuhooralghadkg@hotmail.com</t>
  </si>
  <si>
    <t>100603-1</t>
  </si>
  <si>
    <t>كوثر محمد علي يوسف</t>
  </si>
  <si>
    <t>shomos96@hotmail.com</t>
  </si>
  <si>
    <t>ماجدة يوسف غريب</t>
  </si>
  <si>
    <t>النويدرات</t>
  </si>
  <si>
    <t>117774-1</t>
  </si>
  <si>
    <t xml:space="preserve">26542 - 2 </t>
  </si>
  <si>
    <t>مهزة/ سترة</t>
  </si>
  <si>
    <t>17342088/ 32002364</t>
  </si>
  <si>
    <t>Aldiaakg@gmail.com</t>
  </si>
  <si>
    <t>الشاخورة</t>
  </si>
  <si>
    <t>هاشمية سيد مهدي محسن فضل</t>
  </si>
  <si>
    <t>38449554\35550954</t>
  </si>
  <si>
    <t>ليلى علي عيسى</t>
  </si>
  <si>
    <t>tareeqalkhair01@gmail.com</t>
  </si>
  <si>
    <t>جمعية الدير الخيرية</t>
  </si>
  <si>
    <t>131206-1</t>
  </si>
  <si>
    <t>آسية محمد حسن منصور</t>
  </si>
  <si>
    <t>113450-1</t>
  </si>
  <si>
    <t>جرداب</t>
  </si>
  <si>
    <t>104299-2</t>
  </si>
  <si>
    <t>27654-2</t>
  </si>
  <si>
    <t>137714-2</t>
  </si>
  <si>
    <t>منى سلمان احمد</t>
  </si>
  <si>
    <t>39072-2</t>
  </si>
  <si>
    <t>107567-1</t>
  </si>
  <si>
    <t>27509 - 6</t>
  </si>
  <si>
    <t>45580-3</t>
  </si>
  <si>
    <t>شيرين السعدي الاتربي</t>
  </si>
  <si>
    <t>41089-4</t>
  </si>
  <si>
    <t xml:space="preserve">زينب ماجد الماجد </t>
  </si>
  <si>
    <t>34221668 / 17863636</t>
  </si>
  <si>
    <t xml:space="preserve">child.almahaba@gmail.com </t>
  </si>
  <si>
    <t xml:space="preserve">ماجد الماجد </t>
  </si>
  <si>
    <t xml:space="preserve">خديجة إبراهيم الماجد </t>
  </si>
  <si>
    <t>دمستان</t>
  </si>
  <si>
    <t>40154-4</t>
  </si>
  <si>
    <t>109204-1</t>
  </si>
  <si>
    <t>32123-3</t>
  </si>
  <si>
    <t>little.explorer3@gmail.com</t>
  </si>
  <si>
    <t xml:space="preserve">هند ناصر سعد النعيمي </t>
  </si>
  <si>
    <t xml:space="preserve">نوف ناصر سعد النعيمي </t>
  </si>
  <si>
    <t>751/753</t>
  </si>
  <si>
    <t>باربار</t>
  </si>
  <si>
    <t>مصابيح الأمل</t>
  </si>
  <si>
    <t>105327-1</t>
  </si>
  <si>
    <t>مريم خالد</t>
  </si>
  <si>
    <t>ميعاد علي إبراهيم حسين</t>
  </si>
  <si>
    <t>39162299 - 17596050</t>
  </si>
  <si>
    <t>70040-5</t>
  </si>
  <si>
    <t>لمياء سيد عدنان سيد محمد النعيمي</t>
  </si>
  <si>
    <t>آسيا يوسف الحلو محمد</t>
  </si>
  <si>
    <t>مقابة</t>
  </si>
  <si>
    <t>105386-1</t>
  </si>
  <si>
    <t>51248-2</t>
  </si>
  <si>
    <t>107031-1</t>
  </si>
  <si>
    <t xml:space="preserve">عفيفة عبدالحسين الدرازي </t>
  </si>
  <si>
    <t>59879-2</t>
  </si>
  <si>
    <t>alnebras.kg@outlook.com</t>
  </si>
  <si>
    <t>سترة</t>
  </si>
  <si>
    <t>عفيفة عبدالحسين الدرازي</t>
  </si>
  <si>
    <t>147195- 1</t>
  </si>
  <si>
    <t>آمال حسن إبراهيم علي الصيرفي</t>
  </si>
  <si>
    <t>105028-1</t>
  </si>
  <si>
    <t xml:space="preserve">alnoorain313@gmail.com </t>
  </si>
  <si>
    <t xml:space="preserve">زهرة جعفر أحمد </t>
  </si>
  <si>
    <t>غنية عبدالله علي الأدرج</t>
  </si>
  <si>
    <t>117501-2</t>
  </si>
  <si>
    <t>118156-1</t>
  </si>
  <si>
    <t>117004-2</t>
  </si>
  <si>
    <t>102577 - 2</t>
  </si>
  <si>
    <t>alwalaa.kg@hotmail.com</t>
  </si>
  <si>
    <t>زينب يوسف عيسى شهاب</t>
  </si>
  <si>
    <t>بني جمرة</t>
  </si>
  <si>
    <t>87432-02</t>
  </si>
  <si>
    <t>Janeann Mohseni</t>
  </si>
  <si>
    <t>17791491 - 39666311</t>
  </si>
  <si>
    <t>info@budaiyapreschool.com</t>
  </si>
  <si>
    <t>Waheed Mohseni</t>
  </si>
  <si>
    <t>فاطمة أحمد حسين أكبر</t>
  </si>
  <si>
    <t>28483 - 1</t>
  </si>
  <si>
    <t>المالكية</t>
  </si>
  <si>
    <t>pink.n.blue.kg@gmail.com</t>
  </si>
  <si>
    <t>فاطمة علي بوحميد</t>
  </si>
  <si>
    <t>سكينة سيد خليل إبراهيم</t>
  </si>
  <si>
    <t>136141 - 1</t>
  </si>
  <si>
    <t>66956161/ 66316161</t>
  </si>
  <si>
    <t>70040-10</t>
  </si>
  <si>
    <t>أبو صيبع</t>
  </si>
  <si>
    <t>وفاء أحمد</t>
  </si>
  <si>
    <t xml:space="preserve">Nicola Lloyd </t>
  </si>
  <si>
    <t>96829-3</t>
  </si>
  <si>
    <t>فوزي محمد بوشقر</t>
  </si>
  <si>
    <t>136438-1</t>
  </si>
  <si>
    <t>120358-1</t>
  </si>
  <si>
    <t>134806-1</t>
  </si>
  <si>
    <t>35573-2</t>
  </si>
  <si>
    <t>71770-4</t>
  </si>
  <si>
    <t>حسن جاسم زويد</t>
  </si>
  <si>
    <t>زينب سعيد حسن</t>
  </si>
  <si>
    <t>آيات سالم محمد</t>
  </si>
  <si>
    <t>سوسن عيسى</t>
  </si>
  <si>
    <t>25317-3</t>
  </si>
  <si>
    <t>72589-3</t>
  </si>
  <si>
    <t>152330-1</t>
  </si>
  <si>
    <t>ourchildren.kg@gmail.com</t>
  </si>
  <si>
    <t>آمنه عبدالله خليفة النعيمي</t>
  </si>
  <si>
    <t>ليلى خميس سويد</t>
  </si>
  <si>
    <t>الجازي عبدالله النعيمي</t>
  </si>
  <si>
    <t>فاطمة عيسى ابراهيم البصري</t>
  </si>
  <si>
    <t>126857-1</t>
  </si>
  <si>
    <t>oneworldstudents@gmail.com</t>
  </si>
  <si>
    <t>ليلى ابراهيم جمعة البصري</t>
  </si>
  <si>
    <t>المرخ</t>
  </si>
  <si>
    <t>samkindergartenbh@gmail.com</t>
  </si>
  <si>
    <t xml:space="preserve">الرفاع - البحير </t>
  </si>
  <si>
    <t>رحاب عبدالحميد علي</t>
  </si>
  <si>
    <t>زينب عبدعلي المادح</t>
  </si>
  <si>
    <t>نورية إبراهيم مهدي</t>
  </si>
  <si>
    <t>الدراز</t>
  </si>
  <si>
    <t>alqamarkg2013@gmail.com</t>
  </si>
  <si>
    <t xml:space="preserve">فاطمة سيد جعفر </t>
  </si>
  <si>
    <t xml:space="preserve"> صابرين معتوق </t>
  </si>
  <si>
    <t>إبراهيم حسن إبراهيم</t>
  </si>
  <si>
    <t>141963-1</t>
  </si>
  <si>
    <t>Alyasmeen.kg.bh@gmail.com</t>
  </si>
  <si>
    <t>104017 - 1</t>
  </si>
  <si>
    <t>noor.almaaref2006@gmail.com</t>
  </si>
  <si>
    <t>جونت منير عجيبي</t>
  </si>
  <si>
    <t>الحجيات</t>
  </si>
  <si>
    <t>alahadkg@gmail.com</t>
  </si>
  <si>
    <t>32683-12</t>
  </si>
  <si>
    <t>منى القائد</t>
  </si>
  <si>
    <t>info@kidzworldkindergarten.com</t>
  </si>
  <si>
    <t>العدلية</t>
  </si>
  <si>
    <t>وليد إبراهيم احمدي
منى القائد</t>
  </si>
  <si>
    <t>39603332
39303032</t>
  </si>
  <si>
    <t>alsalamkg@gmail.com</t>
  </si>
  <si>
    <t>حسن عيد بوخماس</t>
  </si>
  <si>
    <t>فاطمة منصور محمد</t>
  </si>
  <si>
    <t>لبنى أحمد المضاحكة</t>
  </si>
  <si>
    <t>alrayyan2006@hotmail.com</t>
  </si>
  <si>
    <t>تحسين محمد شمس الدين</t>
  </si>
  <si>
    <t>البسيتين</t>
  </si>
  <si>
    <t>admin@nzkgbh.com</t>
  </si>
  <si>
    <t>زينب محمد علي خاتم</t>
  </si>
  <si>
    <t>وجيهة علي عبد الحسين</t>
  </si>
  <si>
    <t>sendebadkg@gmail.com</t>
  </si>
  <si>
    <t>17641881 - 39987303</t>
  </si>
  <si>
    <t>alduha95@hotmail.com</t>
  </si>
  <si>
    <t>17697980 - 17697123</t>
  </si>
  <si>
    <t>فاطمة عبدالمهدي العصفور</t>
  </si>
  <si>
    <t>alfarah0.2015@gmail.com</t>
  </si>
  <si>
    <t>أسماء جاسم أحمد</t>
  </si>
  <si>
    <t>Alfardoos2002@hotmail.com</t>
  </si>
  <si>
    <t>إبتسام محمد علي الكهالي 
نفيسة محمد حسن شحاته</t>
  </si>
  <si>
    <t>39596998
39221405</t>
  </si>
  <si>
    <t>نفيسة محمد حسن شحاته</t>
  </si>
  <si>
    <t>كرزكان</t>
  </si>
  <si>
    <t xml:space="preserve">فاطمة علي سلمان
فضة علي احمد حسين </t>
  </si>
  <si>
    <t>66305669
66369686</t>
  </si>
  <si>
    <t>منى علي احمد</t>
  </si>
  <si>
    <t>alqudskg@gmail.com</t>
  </si>
  <si>
    <t>pearls.kg@gmail.com</t>
  </si>
  <si>
    <t>شيماء أحمد عيسى</t>
  </si>
  <si>
    <t>17555040-17555585</t>
  </si>
  <si>
    <t>فاروق ابراهيم عبيد</t>
  </si>
  <si>
    <t>كوثر فاروق عبيد</t>
  </si>
  <si>
    <t>alnajahkindergarten@gmail.com</t>
  </si>
  <si>
    <t>صفية جاسم محمد</t>
  </si>
  <si>
    <t>alhadikg@gmail.com</t>
  </si>
  <si>
    <t>زهرة السيد علي الهاشم</t>
  </si>
  <si>
    <t>alyaqeenkindergarten@gmail.com</t>
  </si>
  <si>
    <t>الشيخة عائشة بنت خالد آل خليفة</t>
  </si>
  <si>
    <t>لطيفة عبدالوهاب السيسي</t>
  </si>
  <si>
    <t xml:space="preserve">وفاء علي </t>
  </si>
  <si>
    <t>letsstartbh@gmail.com</t>
  </si>
  <si>
    <t xml:space="preserve">جو </t>
  </si>
  <si>
    <t>alsayakindergarten@gmail.com</t>
  </si>
  <si>
    <t>firststepkg20@gmail.com</t>
  </si>
  <si>
    <t>36478219/ 36486480</t>
  </si>
  <si>
    <t>رقية خميس</t>
  </si>
  <si>
    <t>schoolalthuraya@gmail.com</t>
  </si>
  <si>
    <t>إيمان السيد عبدالله حسن</t>
  </si>
  <si>
    <t>معصومة حسين النامي</t>
  </si>
  <si>
    <t>littleswan.school@gmail.com</t>
  </si>
  <si>
    <t>madeleinespreschool@gmail.com</t>
  </si>
  <si>
    <t>مادلين المؤيد</t>
  </si>
  <si>
    <t>17721851/17720290</t>
  </si>
  <si>
    <t>الماحوز</t>
  </si>
  <si>
    <t>دلال ابراهيم علي</t>
  </si>
  <si>
    <t>Jasmine Smith</t>
  </si>
  <si>
    <t>alhuda.kindergarten@gmail.com</t>
  </si>
  <si>
    <t>قاسم العاثم</t>
  </si>
  <si>
    <t>afafsaeed12@gmail.com</t>
  </si>
  <si>
    <t>عفاف الزيرة</t>
  </si>
  <si>
    <t>1269A</t>
  </si>
  <si>
    <t>17620383-33292868</t>
  </si>
  <si>
    <t>bloombuds@gmail.com</t>
  </si>
  <si>
    <t>عسكر</t>
  </si>
  <si>
    <t>بوغزال</t>
  </si>
  <si>
    <t>17785699 - 39409099</t>
  </si>
  <si>
    <t>sarakindergarten.bh@gmail.com</t>
  </si>
  <si>
    <t>زهراء جعفر علي الحايكي</t>
  </si>
  <si>
    <t>شيخة عبدالحسين علي</t>
  </si>
  <si>
    <t>100769 - 2</t>
  </si>
  <si>
    <t>79825-2</t>
  </si>
  <si>
    <t>الجنبية</t>
  </si>
  <si>
    <t>أمل عبدالله الشوملي</t>
  </si>
  <si>
    <t>138227-2</t>
  </si>
  <si>
    <t>كامليليا عيسى البورشيد</t>
  </si>
  <si>
    <t xml:space="preserve">بلاد القديم </t>
  </si>
  <si>
    <t>أمينة هلال محمد</t>
  </si>
  <si>
    <t>مديحة خليل الهاشمي</t>
  </si>
  <si>
    <t>20152-18</t>
  </si>
  <si>
    <t>Rosemarie Abraham</t>
  </si>
  <si>
    <t>Genius Education Consultanlts W.L.L
Rep. Rosemarie Abraham</t>
  </si>
  <si>
    <t>Annie Boby Paul</t>
  </si>
  <si>
    <t>حليمة سيد إبراهيم صالح</t>
  </si>
  <si>
    <t>35012-6</t>
  </si>
  <si>
    <t>عطاء عبدالرضا العصفور</t>
  </si>
  <si>
    <t>الطاقة الاستيعابية المرخصة</t>
  </si>
  <si>
    <t>أبجد هوز</t>
  </si>
  <si>
    <t>أطفال أوال</t>
  </si>
  <si>
    <t>آمنة حسن ناصر السليطي</t>
  </si>
  <si>
    <t>بوكوارة - الرفاع</t>
  </si>
  <si>
    <t>لبنى أحمد المضحكي</t>
  </si>
  <si>
    <t>حميدة جعفر حسن مرزوق</t>
  </si>
  <si>
    <t xml:space="preserve">أسماء حسن عبدالله الحواج </t>
  </si>
  <si>
    <t>بوران خليل الأنصاري</t>
  </si>
  <si>
    <t>masabeehalamal@gmail.com</t>
  </si>
  <si>
    <t>شركة الخطوة الأولى ذ.م.م
الممثل: رقية خميس علي يوسف</t>
  </si>
  <si>
    <t>اسم الروضة</t>
  </si>
  <si>
    <t>131712-1</t>
  </si>
  <si>
    <t>25119-3</t>
  </si>
  <si>
    <t>65732-3</t>
  </si>
  <si>
    <t>104115-1</t>
  </si>
  <si>
    <t>76609-3</t>
  </si>
  <si>
    <t>76609-2</t>
  </si>
  <si>
    <t>129681-1</t>
  </si>
  <si>
    <t>152936-1</t>
  </si>
  <si>
    <t>100600-1</t>
  </si>
  <si>
    <t>12358-2</t>
  </si>
  <si>
    <t>39162-3</t>
  </si>
  <si>
    <t>71319-2</t>
  </si>
  <si>
    <t>27791-8</t>
  </si>
  <si>
    <t>105841-1</t>
  </si>
  <si>
    <t>87485-2</t>
  </si>
  <si>
    <t>106932-1</t>
  </si>
  <si>
    <t>102182-1</t>
  </si>
  <si>
    <t>116676-1</t>
  </si>
  <si>
    <t>102571-2</t>
  </si>
  <si>
    <t>711-6</t>
  </si>
  <si>
    <t>101780-1</t>
  </si>
  <si>
    <t>138987-1</t>
  </si>
  <si>
    <t>131054-1</t>
  </si>
  <si>
    <t>103704-1</t>
  </si>
  <si>
    <t>107262-1</t>
  </si>
  <si>
    <t>131287-1</t>
  </si>
  <si>
    <t>103251-1</t>
  </si>
  <si>
    <t>42629-4</t>
  </si>
  <si>
    <t>96252-2</t>
  </si>
  <si>
    <t>141081-1</t>
  </si>
  <si>
    <t>60243-3</t>
  </si>
  <si>
    <t>109524-2</t>
  </si>
  <si>
    <t>122212-1</t>
  </si>
  <si>
    <t>10735-7</t>
  </si>
  <si>
    <t>127895-1</t>
  </si>
  <si>
    <t>135816-1</t>
  </si>
  <si>
    <t>132805-1</t>
  </si>
  <si>
    <t>105002-2</t>
  </si>
  <si>
    <t>123738-1</t>
  </si>
  <si>
    <t>126692-2</t>
  </si>
  <si>
    <t>132723-1</t>
  </si>
  <si>
    <t>33656-1</t>
  </si>
  <si>
    <t>106087-2</t>
  </si>
  <si>
    <t>117501-3</t>
  </si>
  <si>
    <t>113515-1</t>
  </si>
  <si>
    <t>102877-1</t>
  </si>
  <si>
    <t>تابعة لجمعية خيرية</t>
  </si>
  <si>
    <t>تابعة لنادي المحرق</t>
  </si>
  <si>
    <t>aleshraq.kg@gmail.com</t>
  </si>
  <si>
    <t>albayader.1995@gmail.com</t>
  </si>
  <si>
    <t>Hilal@batelco.com.Bh</t>
  </si>
  <si>
    <t>se.mat@hotmail.com</t>
  </si>
  <si>
    <t>8A</t>
  </si>
  <si>
    <t>تغيير مبنى</t>
  </si>
  <si>
    <t>سنة التأسيس</t>
  </si>
  <si>
    <t>متوقفة عن العمل</t>
  </si>
  <si>
    <t>Rise and Shine</t>
  </si>
  <si>
    <t>درر</t>
  </si>
  <si>
    <t>السيف</t>
  </si>
  <si>
    <t>محمد إسماعيل الترابي</t>
  </si>
  <si>
    <t>هيا حمد سلمان الخالدي</t>
  </si>
  <si>
    <t>آمال أبوالفتح</t>
  </si>
  <si>
    <t>صديقة علي حسن</t>
  </si>
  <si>
    <t>umnasser.modelkg@gmail.com
admin@umnassermkg.com</t>
  </si>
  <si>
    <t>durar.kindergarten@hotmail.com</t>
  </si>
  <si>
    <t>مياسة محمد تقي</t>
  </si>
  <si>
    <t>Georgia Leigh</t>
  </si>
  <si>
    <t>positivestepskindergarten@gmail.com</t>
  </si>
  <si>
    <t>Riseandshinebh1@gmail.com</t>
  </si>
  <si>
    <t>152722-2</t>
  </si>
  <si>
    <t>160099-1</t>
  </si>
  <si>
    <t>almajd-kin@hotmail.com</t>
  </si>
  <si>
    <t>115059-2</t>
  </si>
  <si>
    <t>103337-1</t>
  </si>
  <si>
    <t>71341 - 3</t>
  </si>
  <si>
    <t>29690 - 6</t>
  </si>
  <si>
    <t>166689-1</t>
  </si>
  <si>
    <t xml:space="preserve"> Lamara Pre-School</t>
  </si>
  <si>
    <t>1290 / ت خ / 2005</t>
  </si>
  <si>
    <t>1277/ت خ /2005</t>
  </si>
  <si>
    <t>237 / م ع ن / 2020</t>
  </si>
  <si>
    <t>27/ م ع ن /2022</t>
  </si>
  <si>
    <t>1635 / م ع ن / 2019</t>
  </si>
  <si>
    <t>529/ م ع ن /2007</t>
  </si>
  <si>
    <t>551 / م ع ن / 2008</t>
  </si>
  <si>
    <t>1264 / م ع ن / 2019</t>
  </si>
  <si>
    <t>28/ 98</t>
  </si>
  <si>
    <t>59 / م ع ن / 2021</t>
  </si>
  <si>
    <t>80/168/27</t>
  </si>
  <si>
    <t>157 / ت خ / 2001</t>
  </si>
  <si>
    <t>157 / ت خ/ 2001</t>
  </si>
  <si>
    <t>236 / م ع ن / 2002</t>
  </si>
  <si>
    <t>16 / 2004</t>
  </si>
  <si>
    <t>1577 / ت خ/ 2005</t>
  </si>
  <si>
    <t>98/ ت خ  / 1997</t>
  </si>
  <si>
    <t>1073/م ع ن/2008</t>
  </si>
  <si>
    <t>25/94</t>
  </si>
  <si>
    <t>1286/ م ع ن/2016</t>
  </si>
  <si>
    <t>85/52/553</t>
  </si>
  <si>
    <t>160/ ت خ  / 2002</t>
  </si>
  <si>
    <t>135/ ت خ  / 2001</t>
  </si>
  <si>
    <t>1834/م ع ن /2017</t>
  </si>
  <si>
    <t>1265 / م ع ن /2019</t>
  </si>
  <si>
    <t>442/ 95</t>
  </si>
  <si>
    <t>1249/ م ع ن / 2009</t>
  </si>
  <si>
    <t>225 / م ع ن / 2020</t>
  </si>
  <si>
    <t>1247 / م ع ن /2009</t>
  </si>
  <si>
    <t>105/ ت خ /2000</t>
  </si>
  <si>
    <t>83/ ت خ /2001</t>
  </si>
  <si>
    <t>7 / ت خ  / 1999</t>
  </si>
  <si>
    <t>966 / م ع ن / 2008</t>
  </si>
  <si>
    <t>1978/13/3312</t>
  </si>
  <si>
    <t>225 / م ع ن / 2015</t>
  </si>
  <si>
    <t>284/ 93</t>
  </si>
  <si>
    <t>199/ ت خ  / 2002</t>
  </si>
  <si>
    <t>534/م ع ن /2009م</t>
  </si>
  <si>
    <t>46 / م ع ن  / 2009</t>
  </si>
  <si>
    <t>642 / م ع ن / 2020</t>
  </si>
  <si>
    <t>384/ 315 / 1988</t>
  </si>
  <si>
    <t>936/ م ع ن /2018</t>
  </si>
  <si>
    <t>438/ م ع ن / 2019</t>
  </si>
  <si>
    <t>1174/ ر أ /2006</t>
  </si>
  <si>
    <t>15/ م ع ن /2012</t>
  </si>
  <si>
    <t>4043/ م ع ن /2012</t>
  </si>
  <si>
    <t>277/ م ع ن/2010</t>
  </si>
  <si>
    <t>395/ 96</t>
  </si>
  <si>
    <t>154/ ت خ /2001</t>
  </si>
  <si>
    <t>1732/م ع ن /2014</t>
  </si>
  <si>
    <t>31/ م ع ن /2009</t>
  </si>
  <si>
    <t>86/ م ع ن /2018</t>
  </si>
  <si>
    <t>9/ ت خ / 2003</t>
  </si>
  <si>
    <t>1028/م ع ن /2009</t>
  </si>
  <si>
    <t>660/ 96</t>
  </si>
  <si>
    <t>1474 / م ع ن / 2019</t>
  </si>
  <si>
    <t>272 / م ع ن / 2020</t>
  </si>
  <si>
    <t>952/م ع ن /2013</t>
  </si>
  <si>
    <t>159/ ت خ / 2002</t>
  </si>
  <si>
    <t>239/ ت خ / 2003</t>
  </si>
  <si>
    <t>1343/ م ع ن /2015</t>
  </si>
  <si>
    <t>130/ ت خ  /1999</t>
  </si>
  <si>
    <t>437/ م ع ن / 2019</t>
  </si>
  <si>
    <t>230/ 93</t>
  </si>
  <si>
    <t>93/3</t>
  </si>
  <si>
    <t>902/م ع ن /2017</t>
  </si>
  <si>
    <t>85/52/656</t>
  </si>
  <si>
    <t>286/ 93</t>
  </si>
  <si>
    <t>89/52/278</t>
  </si>
  <si>
    <t>554/ م ع ن / 2008</t>
  </si>
  <si>
    <t>1218/ م ع ن /2015</t>
  </si>
  <si>
    <t>1/ ت خ /1999</t>
  </si>
  <si>
    <t>75/ م م ج ب أ / 2023</t>
  </si>
  <si>
    <t>1475 / م ع ن / 2019</t>
  </si>
  <si>
    <t>104 / م ع ن / 2021</t>
  </si>
  <si>
    <t>419 / ت خ / 2006</t>
  </si>
  <si>
    <t>238/ ت خ /2003</t>
  </si>
  <si>
    <t>87/ 2004</t>
  </si>
  <si>
    <t>208/م ع ن / 2008م</t>
  </si>
  <si>
    <t xml:space="preserve">1266 / م ع ن /2019 </t>
  </si>
  <si>
    <t>1006/ م  ع ن /2018</t>
  </si>
  <si>
    <t>128/ ت خ /1999</t>
  </si>
  <si>
    <t>2428/ م ع ن/2014</t>
  </si>
  <si>
    <t>84/52/301</t>
  </si>
  <si>
    <t xml:space="preserve">161/ ت خ /2002 </t>
  </si>
  <si>
    <t>620/ 96</t>
  </si>
  <si>
    <t>1835/ م ع ن /2017</t>
  </si>
  <si>
    <t>321/2766/ 80</t>
  </si>
  <si>
    <t>18/م ع ن/2016</t>
  </si>
  <si>
    <t>1452/م ع ن/2016</t>
  </si>
  <si>
    <t>219/ ت خ /2000</t>
  </si>
  <si>
    <t>1306/ ت خ /2004</t>
  </si>
  <si>
    <t>533/م ع ن/2009</t>
  </si>
  <si>
    <t>106/ م ع ن / 2020</t>
  </si>
  <si>
    <t>1985/52/706</t>
  </si>
  <si>
    <t>1326/م ع ن /2008</t>
  </si>
  <si>
    <t>1202/ ر أ /2006</t>
  </si>
  <si>
    <t>60 / م ع ن / 2021</t>
  </si>
  <si>
    <t>112/ ت خ /1997</t>
  </si>
  <si>
    <t>1169/ ت خ /2006</t>
  </si>
  <si>
    <t>327/ ت خ /2005</t>
  </si>
  <si>
    <t xml:space="preserve">81 / م ع ن / 2022 </t>
  </si>
  <si>
    <t>189 / ت خ / 2002</t>
  </si>
  <si>
    <t>90/950</t>
  </si>
  <si>
    <t>45/ م ع ن / 2019</t>
  </si>
  <si>
    <t>95 / م م ج ب أ / 2023</t>
  </si>
  <si>
    <t xml:space="preserve">511/ ت خ /2003 </t>
  </si>
  <si>
    <t>237/2002</t>
  </si>
  <si>
    <t>1263/ م ع ن / 2019</t>
  </si>
  <si>
    <t>22/ م ع ن / 2020</t>
  </si>
  <si>
    <t>30/م ع ن /2009</t>
  </si>
  <si>
    <t>284 / م ع ن / 2020</t>
  </si>
  <si>
    <t>524 / م ع ن / 2020</t>
  </si>
  <si>
    <t>611 / م ع ن / 2020</t>
  </si>
  <si>
    <t>553 / م ع ن / 2020</t>
  </si>
  <si>
    <t>641 / م ع ن / 2020</t>
  </si>
  <si>
    <t>3 / م ع ن / 2022</t>
  </si>
  <si>
    <t xml:space="preserve">15 / م ع ن / 2021 </t>
  </si>
  <si>
    <t>693 / م ع ن / 2020</t>
  </si>
  <si>
    <t>79 / م ع ن / 2021</t>
  </si>
  <si>
    <t>89 / م ع ن / 2021</t>
  </si>
  <si>
    <t xml:space="preserve">99 / م ع ن / 2021 </t>
  </si>
  <si>
    <t>92 / م ع ن / 2021</t>
  </si>
  <si>
    <t>111 / م ع ن / 2021</t>
  </si>
  <si>
    <t>36 / م ع ن / 2022</t>
  </si>
  <si>
    <t>71 / م ع ن / 2022</t>
  </si>
  <si>
    <t>409 / م م ج ب أ / 2023</t>
  </si>
  <si>
    <t>77/ م م ج ب أ / 2022</t>
  </si>
  <si>
    <t>6/ م م ج ب أ /2022</t>
  </si>
  <si>
    <t>652/م م ج ب أ/2023</t>
  </si>
  <si>
    <t>651/م م ج ب أ/2023</t>
  </si>
  <si>
    <t>1098/م ع ن /2009</t>
  </si>
  <si>
    <t>83/52/53</t>
  </si>
  <si>
    <t xml:space="preserve">159/ ت خ /2001 </t>
  </si>
  <si>
    <t>679 / م ع ن / 2020</t>
  </si>
  <si>
    <t>86/315/888</t>
  </si>
  <si>
    <t>933/ م ع ن /2018</t>
  </si>
  <si>
    <t>83/م ع ن /2018</t>
  </si>
  <si>
    <t xml:space="preserve">647 / م ع ن / 2020 </t>
  </si>
  <si>
    <t>10 / م ع ن / 2022</t>
  </si>
  <si>
    <t>224 / م ع ن / 2009</t>
  </si>
  <si>
    <t>1733/ م ع ن/ 2014</t>
  </si>
  <si>
    <t>649/ 52/ 85</t>
  </si>
  <si>
    <t>118/ ت خ /1997</t>
  </si>
  <si>
    <t xml:space="preserve">64/ ت خ /2001 </t>
  </si>
  <si>
    <t>65694 - 1</t>
  </si>
  <si>
    <t>تكوين القادة</t>
  </si>
  <si>
    <t>alrabeehkg@gmail.com
alrabeeh.kg.bh@hotmail.com</t>
  </si>
  <si>
    <t>takweenkg@gmail.com
bahrain.7117@gmail.com</t>
  </si>
  <si>
    <t>reef.kindergarten@gmail.com</t>
  </si>
  <si>
    <t xml:space="preserve">albarakakg.muharraq@hotmail.com </t>
  </si>
  <si>
    <t xml:space="preserve"> konoozkindergartenbh@gmail.com
nayla.aljalahmaa@hotmail.com</t>
  </si>
  <si>
    <t>alfarooqkindergarten1989@gmail.com</t>
  </si>
  <si>
    <t>administration@etonhouse.me</t>
  </si>
  <si>
    <t>littleangelkindergarten@hotmail.com</t>
  </si>
  <si>
    <t>alnahdakinder22@gmail.com</t>
  </si>
  <si>
    <t>zinatalhaya2008@gmail.com</t>
  </si>
  <si>
    <t>alghanadil.kg@gmail.com</t>
  </si>
  <si>
    <t>alrehabkindergarten@hotmail.com</t>
  </si>
  <si>
    <t>مي فريد</t>
  </si>
  <si>
    <t>فاطمة رضي مرضي</t>
  </si>
  <si>
    <t>حنان صلاح الدين عووضه</t>
  </si>
  <si>
    <t>سعدة عبدالله حسن المتروك</t>
  </si>
  <si>
    <t>فاطمة أحمد حسن محمد</t>
  </si>
  <si>
    <t>33009522</t>
  </si>
  <si>
    <t>عقيلة عبدالوهاب حسين</t>
  </si>
  <si>
    <t>منى قطب</t>
  </si>
  <si>
    <t>جنان علي حمد</t>
  </si>
  <si>
    <t>36456453/ 33606612</t>
  </si>
  <si>
    <t>37708113/ 37760073</t>
  </si>
  <si>
    <t xml:space="preserve">33707295 / 39149797 </t>
  </si>
  <si>
    <t>نجاة علي سعدون</t>
  </si>
  <si>
    <t xml:space="preserve">فريدة عبدالحسين حسن القصاب </t>
  </si>
  <si>
    <t>36644115/ 32323588</t>
  </si>
  <si>
    <t>Nilufar Hasanli</t>
  </si>
  <si>
    <t>Liesel-Marie Bouwer</t>
  </si>
  <si>
    <t xml:space="preserve">Lynnetta Harrison </t>
  </si>
  <si>
    <t>34114848/ 34332277</t>
  </si>
  <si>
    <t>بتول أحمد عبدالله العجوز</t>
  </si>
  <si>
    <t>وفاء مكي عبد الحسين الأسكافي</t>
  </si>
  <si>
    <t>ليلى خميس الربعاني</t>
  </si>
  <si>
    <t>رقية خميس علي</t>
  </si>
  <si>
    <t>آمال محمد أبوالفتح علي أبوالفتح</t>
  </si>
  <si>
    <t>تماضر محمد فارس</t>
  </si>
  <si>
    <t>هدى جاسم محمد شويطر</t>
  </si>
  <si>
    <t>KG's NAME</t>
  </si>
  <si>
    <t>britprepoffice@gmail.com</t>
  </si>
  <si>
    <t>فخرية السيد جعفر ماجد عبدالله</t>
  </si>
  <si>
    <t>فريدة إبراهيم محمد أحمد البنعلي</t>
  </si>
  <si>
    <t>أمل سامي المهزع</t>
  </si>
  <si>
    <t xml:space="preserve"> Smily Faces</t>
  </si>
  <si>
    <t xml:space="preserve"> smilyfaceskg@gmail.com  </t>
  </si>
  <si>
    <t xml:space="preserve"> 849Y</t>
  </si>
  <si>
    <t xml:space="preserve">فيلا 2 مدخل 122 </t>
  </si>
  <si>
    <t>Jolly Land</t>
  </si>
  <si>
    <t>عبدالجليل حسين عباس العالي</t>
  </si>
  <si>
    <t>takweenkindergarten80@gmail.com</t>
  </si>
  <si>
    <t>تأجيل دراسة</t>
  </si>
  <si>
    <t>The Budaiya Pre-School</t>
  </si>
  <si>
    <t>شركة دنيا الأطفال ذ.م.م
يمثلها السيد عماد الدين حسب الرسول</t>
  </si>
  <si>
    <t>فاطمة سعود</t>
  </si>
  <si>
    <t>الوجوه المبتسمة  Smily Faces</t>
  </si>
  <si>
    <t>شركة روضة عالم الصغار ذ.م.م
الممثلين: السيد وليد إبراهيم محمد أحمدي
والسيدة Deepthi Sanjay</t>
  </si>
  <si>
    <t>Bright Horizon</t>
  </si>
  <si>
    <t>Little swan preschool company S.P.C
تمثلها السيدة فوزية عبدالرسول باقر بلجيك</t>
  </si>
  <si>
    <t>الرقم الشخصي للمالك</t>
  </si>
  <si>
    <t>أطفال الهداية</t>
  </si>
  <si>
    <t>Nasmah</t>
  </si>
  <si>
    <t>شركة روضة نسمة ذ.م.م
يمثلها: السيد عماد الدين حسب الرسول الماحي شيخ</t>
  </si>
  <si>
    <t>السيد محمد جاسم محمد عبدالحسن</t>
  </si>
  <si>
    <t>لين</t>
  </si>
  <si>
    <t>صهيب عبدالرزاق شريف</t>
  </si>
  <si>
    <t>brighthorizonkg.bh@gmail.com</t>
  </si>
  <si>
    <t>info@leenbh.com</t>
  </si>
  <si>
    <t>براءة العلي</t>
  </si>
  <si>
    <t>غادة بوراشد</t>
  </si>
  <si>
    <t>عماد الدين حسب الرسول</t>
  </si>
  <si>
    <t>سارة يوسف المرباطي</t>
  </si>
  <si>
    <t>زهرة شهاب</t>
  </si>
  <si>
    <t>nasmahkindergarten@gmail.com</t>
  </si>
  <si>
    <t>al.murjan-kindergarten@hotmail.com</t>
  </si>
  <si>
    <t>Alreaayakg90@hotmail.com</t>
  </si>
  <si>
    <t>alkhayratKG@hotmail.com</t>
  </si>
  <si>
    <t>ولاء عادل محسن العصفور</t>
  </si>
  <si>
    <t>alataakg@outlook.com</t>
  </si>
  <si>
    <t xml:space="preserve">بيانات رياض الأطفال المستقلة </t>
  </si>
  <si>
    <t>عباد الشمس</t>
  </si>
  <si>
    <t>New Vision Stars</t>
  </si>
  <si>
    <t>الزنج</t>
  </si>
  <si>
    <t>علياء خالد عبدالنبي جعفر بو حميد</t>
  </si>
  <si>
    <t>سعيدة مبارك فرحان عيد</t>
  </si>
  <si>
    <t>هيا الخالدي</t>
  </si>
  <si>
    <t>شركة مدرسة لؤلؤة الخليج العربي ذ.م.م</t>
  </si>
  <si>
    <t>Jood</t>
  </si>
  <si>
    <t>الساية الحد</t>
  </si>
  <si>
    <t>alsayahidd25@gmail.com</t>
  </si>
  <si>
    <t>نورة سالم يوسف</t>
  </si>
  <si>
    <t>Horizonps05@gmail.com</t>
  </si>
  <si>
    <t>يوسف أحمد حسن سعيد شعبي</t>
  </si>
  <si>
    <t>كاميليا عيسى فرج آل بورشيد</t>
  </si>
  <si>
    <t>فاطمة علي إبراهيم حسين بوحميد</t>
  </si>
  <si>
    <t>A289 - G289</t>
  </si>
  <si>
    <t xml:space="preserve">الزهراء جعفر خليل إبراهيم عيسى </t>
  </si>
  <si>
    <t>jk2kindergarten@gmail.com</t>
  </si>
  <si>
    <t>Flamingo</t>
  </si>
  <si>
    <t>محمد أحمد حسن سعيد</t>
  </si>
  <si>
    <t>خليل ابراهيم محمد هجرس
رمزي جميل أمين وفا</t>
  </si>
  <si>
    <t>مريم الحسن</t>
  </si>
  <si>
    <t>لمياء معتوق</t>
  </si>
  <si>
    <t>رابية المتروك</t>
  </si>
  <si>
    <t>آفاق Horizons</t>
  </si>
  <si>
    <t>فاطمة أحمد</t>
  </si>
  <si>
    <t>لينا الغريب</t>
  </si>
  <si>
    <t>sunflowerKG.ceo@gmail.com</t>
  </si>
  <si>
    <t>newvision_511@hotmail.com</t>
  </si>
  <si>
    <t>alnoorain2006@gmail.com</t>
  </si>
  <si>
    <t>138227-7</t>
  </si>
  <si>
    <t>39696936
39240711</t>
  </si>
  <si>
    <t xml:space="preserve">أحمد يوسف الشيخ آل مبارك
سهير عبد الرضا </t>
  </si>
  <si>
    <t>شرق الحد</t>
  </si>
  <si>
    <t>بوكوارة</t>
  </si>
  <si>
    <t>jollyland.kg@gmail.com</t>
  </si>
  <si>
    <t>حميدة محمد علي درويش</t>
  </si>
  <si>
    <t>littlehopeskg@gmail.com</t>
  </si>
  <si>
    <t>دينا محمد علي</t>
  </si>
  <si>
    <t>الآفاق الحديثة</t>
  </si>
  <si>
    <t>شركة مدرسة الآفاق الحديثة ذ.م.م
يمثلها السيد جوي ماثيو</t>
  </si>
  <si>
    <t>71&amp;77</t>
  </si>
  <si>
    <t>السقية</t>
  </si>
  <si>
    <t>الآمال الصغيرة
Little Hopes</t>
  </si>
  <si>
    <t>13622221
66681112</t>
  </si>
  <si>
    <t>وجيهة رابل</t>
  </si>
  <si>
    <t>nhskg.bahrain@gmail.com</t>
  </si>
  <si>
    <t>نجاة حسن العلي</t>
  </si>
  <si>
    <t xml:space="preserve">دعيج بن عبدالله بن حمود آل خليفة </t>
  </si>
  <si>
    <t>شركة روضة بيت الأطفال ذ.م.م
يمثلها: Jamal Umar Khattak</t>
  </si>
  <si>
    <t xml:space="preserve">فضيلة احمد عبدالله </t>
  </si>
  <si>
    <t>Joy Mathyus</t>
  </si>
  <si>
    <t>نورة البنخليل</t>
  </si>
  <si>
    <t xml:space="preserve">_ </t>
  </si>
  <si>
    <t>32208833-
17633388</t>
  </si>
  <si>
    <t xml:space="preserve">  _ </t>
  </si>
  <si>
    <t>_</t>
  </si>
  <si>
    <t xml:space="preserve"> -  </t>
  </si>
  <si>
    <t xml:space="preserve">  -</t>
  </si>
  <si>
    <t xml:space="preserve">محمود الخنيزي </t>
  </si>
  <si>
    <t>إيمان عبدالله أحمد</t>
  </si>
  <si>
    <t>ليلى علي عبدالله</t>
  </si>
  <si>
    <t xml:space="preserve">       -</t>
  </si>
  <si>
    <t>مريم عيسى</t>
  </si>
  <si>
    <t>زهراء جعفر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</si>
</sst>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6" x14ac:knownFonts="1">
    <font>
      <sz val="11"/>
      <color theme="1"/>
      <name val="Calibri"/>
      <family val="2"/>
      <scheme val="minor"/>
    </font>
    <font>
      <b/>
      <sz val="14"/>
      <color theme="1"/>
      <name val="Arial"/>
      <family val="2"/>
    </font>
    <font>
      <sz val="12"/>
      <color theme="1"/>
      <name val="Arial"/>
      <family val="2"/>
    </font>
    <font>
      <sz val="14"/>
      <color theme="1"/>
      <name val="Arial"/>
      <family val="2"/>
    </font>
    <font>
      <sz val="8"/>
      <name val="Calibri"/>
      <family val="2"/>
      <scheme val="minor"/>
    </font>
    <font>
      <sz val="16"/>
      <color theme="1"/>
      <name val="Arial"/>
      <family val="2"/>
    </font>
    <font>
      <b/>
      <sz val="16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4"/>
      <name val="Arial"/>
      <family val="2"/>
    </font>
    <font>
      <sz val="11"/>
      <color theme="1"/>
      <name val="Calibri"/>
      <family val="2"/>
      <scheme val="minor"/>
    </font>
    <font>
      <b/>
      <sz val="36"/>
      <color theme="0"/>
      <name val="Arial"/>
      <family val="2"/>
    </font>
    <font>
      <u/>
      <sz val="12"/>
      <color theme="10"/>
      <name val="Arial"/>
      <family val="2"/>
    </font>
    <font>
      <sz val="11"/>
      <color theme="1"/>
      <name val="Calibri"/>
      <family val="2"/>
      <charset val="178"/>
      <scheme val="minor"/>
    </font>
    <font>
      <u/>
      <sz val="11"/>
      <color theme="10"/>
      <name val="Calibri"/>
      <family val="2"/>
      <charset val="178"/>
      <scheme val="minor"/>
    </font>
    <font>
      <sz val="14"/>
      <color rgb="FF000000"/>
      <name val="Arial"/>
      <family val="2"/>
    </font>
    <font>
      <b/>
      <sz val="16"/>
      <color theme="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</borders>
  <cellStyleXfs count="9">
    <xf numFmtId="0" fontId="0" fillId="0" borderId="0"/>
    <xf numFmtId="0" fontId="7" fillId="0" borderId="0" applyNumberFormat="0" applyFill="0" applyBorder="0" applyAlignment="0" applyProtection="0"/>
    <xf numFmtId="9" fontId="9" fillId="0" borderId="0" applyFont="0" applyFill="0" applyBorder="0" applyAlignment="0" applyProtection="0"/>
    <xf numFmtId="0" fontId="12" fillId="0" borderId="0"/>
    <xf numFmtId="0" fontId="13" fillId="0" borderId="0" applyNumberFormat="0" applyFill="0" applyBorder="0" applyAlignment="0" applyProtection="0"/>
    <xf numFmtId="43" fontId="9" fillId="0" borderId="0" applyFont="0" applyFill="0" applyBorder="0" applyAlignment="0" applyProtection="0"/>
    <xf numFmtId="0" fontId="12" fillId="0" borderId="0"/>
    <xf numFmtId="0" fontId="9" fillId="0" borderId="0"/>
    <xf numFmtId="9" fontId="9" fillId="0" borderId="0" applyFont="0" applyFill="0" applyBorder="0" applyAlignment="0" applyProtection="0"/>
  </cellStyleXfs>
  <cellXfs count="60">
    <xf numFmtId="0" fontId="0" fillId="0" borderId="0" xfId="0"/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6" fillId="0" borderId="5" xfId="0" applyFont="1" applyBorder="1" applyAlignment="1">
      <alignment horizontal="center" vertical="center" wrapText="1" readingOrder="1"/>
    </xf>
    <xf numFmtId="0" fontId="6" fillId="0" borderId="6" xfId="0" applyFont="1" applyBorder="1" applyAlignment="1">
      <alignment horizontal="center" vertical="center" wrapText="1" readingOrder="1"/>
    </xf>
    <xf numFmtId="0" fontId="2" fillId="2" borderId="1" xfId="0" applyFont="1" applyFill="1" applyBorder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14" fontId="2" fillId="4" borderId="1" xfId="0" applyNumberFormat="1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2"/>
    </xf>
    <xf numFmtId="0" fontId="7" fillId="4" borderId="1" xfId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center" vertical="center" wrapText="1" readingOrder="2"/>
    </xf>
    <xf numFmtId="15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 readingOrder="1"/>
    </xf>
    <xf numFmtId="9" fontId="2" fillId="4" borderId="1" xfId="2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/>
    </xf>
    <xf numFmtId="0" fontId="11" fillId="4" borderId="1" xfId="1" applyFont="1" applyFill="1" applyBorder="1" applyAlignment="1">
      <alignment horizontal="center" vertical="center" wrapText="1"/>
    </xf>
    <xf numFmtId="0" fontId="14" fillId="4" borderId="1" xfId="3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center" vertical="center" wrapText="1" readingOrder="1"/>
    </xf>
    <xf numFmtId="0" fontId="3" fillId="3" borderId="2" xfId="0" applyFont="1" applyFill="1" applyBorder="1" applyAlignment="1">
      <alignment horizontal="center" vertical="center"/>
    </xf>
    <xf numFmtId="0" fontId="6" fillId="4" borderId="5" xfId="0" applyFont="1" applyFill="1" applyBorder="1" applyAlignment="1">
      <alignment horizontal="center" vertical="center" wrapText="1" readingOrder="2"/>
    </xf>
    <xf numFmtId="0" fontId="6" fillId="2" borderId="5" xfId="0" applyFont="1" applyFill="1" applyBorder="1" applyAlignment="1">
      <alignment horizontal="center" vertical="center" wrapText="1" readingOrder="2"/>
    </xf>
    <xf numFmtId="0" fontId="6" fillId="6" borderId="5" xfId="0" applyFont="1" applyFill="1" applyBorder="1" applyAlignment="1">
      <alignment horizontal="center" vertical="center" wrapText="1" readingOrder="2"/>
    </xf>
    <xf numFmtId="0" fontId="6" fillId="7" borderId="7" xfId="0" applyFont="1" applyFill="1" applyBorder="1" applyAlignment="1">
      <alignment horizontal="center" vertical="center" wrapText="1" readingOrder="2"/>
    </xf>
    <xf numFmtId="0" fontId="3" fillId="0" borderId="8" xfId="0" applyFont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/>
    </xf>
    <xf numFmtId="0" fontId="11" fillId="6" borderId="1" xfId="1" applyFont="1" applyFill="1" applyBorder="1" applyAlignment="1">
      <alignment horizontal="center" vertical="center"/>
    </xf>
    <xf numFmtId="0" fontId="2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/>
    </xf>
    <xf numFmtId="14" fontId="2" fillId="7" borderId="1" xfId="0" applyNumberFormat="1" applyFont="1" applyFill="1" applyBorder="1" applyAlignment="1">
      <alignment horizontal="center" vertical="center"/>
    </xf>
    <xf numFmtId="0" fontId="2" fillId="7" borderId="1" xfId="0" applyFont="1" applyFill="1" applyBorder="1" applyAlignment="1">
      <alignment horizontal="center" vertical="center" wrapText="1"/>
    </xf>
    <xf numFmtId="0" fontId="7" fillId="4" borderId="1" xfId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 readingOrder="2"/>
    </xf>
    <xf numFmtId="0" fontId="2" fillId="6" borderId="1" xfId="0" applyFont="1" applyFill="1" applyBorder="1" applyAlignment="1">
      <alignment horizontal="center" vertical="center" readingOrder="2"/>
    </xf>
    <xf numFmtId="0" fontId="2" fillId="2" borderId="1" xfId="0" applyFont="1" applyFill="1" applyBorder="1" applyAlignment="1">
      <alignment horizontal="center" vertical="center" readingOrder="2"/>
    </xf>
    <xf numFmtId="0" fontId="7" fillId="6" borderId="1" xfId="1" applyFill="1" applyBorder="1" applyAlignment="1">
      <alignment horizontal="center" vertical="center"/>
    </xf>
    <xf numFmtId="0" fontId="15" fillId="0" borderId="0" xfId="0" applyFont="1" applyAlignment="1">
      <alignment vertical="center" wrapText="1" readingOrder="2"/>
    </xf>
    <xf numFmtId="0" fontId="1" fillId="4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7" fillId="2" borderId="1" xfId="1" applyFill="1" applyBorder="1" applyAlignment="1">
      <alignment horizontal="center" vertical="center"/>
    </xf>
    <xf numFmtId="0" fontId="10" fillId="5" borderId="4" xfId="0" applyFont="1" applyFill="1" applyBorder="1" applyAlignment="1">
      <alignment vertical="center" readingOrder="2"/>
    </xf>
    <xf numFmtId="0" fontId="2" fillId="8" borderId="1" xfId="0" applyFont="1" applyFill="1" applyBorder="1" applyAlignment="1">
      <alignment horizontal="center" vertical="center" wrapText="1"/>
    </xf>
    <xf numFmtId="0" fontId="2" fillId="4" borderId="1" xfId="3" applyFont="1" applyFill="1" applyBorder="1" applyAlignment="1">
      <alignment horizontal="center" vertical="center" wrapText="1"/>
    </xf>
    <xf numFmtId="0" fontId="7" fillId="2" borderId="1" xfId="1" applyFill="1" applyBorder="1" applyAlignment="1">
      <alignment horizontal="center" vertical="center" wrapText="1"/>
    </xf>
    <xf numFmtId="0" fontId="2" fillId="7" borderId="1" xfId="3" applyFont="1" applyFill="1" applyBorder="1" applyAlignment="1">
      <alignment horizontal="center" vertical="center" wrapText="1"/>
    </xf>
    <xf numFmtId="0" fontId="11" fillId="2" borderId="1" xfId="1" applyFont="1" applyFill="1" applyBorder="1" applyAlignment="1">
      <alignment horizontal="center" vertical="center"/>
    </xf>
    <xf numFmtId="15" fontId="2" fillId="2" borderId="1" xfId="0" applyNumberFormat="1" applyFont="1" applyFill="1" applyBorder="1" applyAlignment="1">
      <alignment horizontal="center" vertical="center"/>
    </xf>
    <xf numFmtId="0" fontId="15" fillId="5" borderId="10" xfId="0" applyFont="1" applyFill="1" applyBorder="1" applyAlignment="1">
      <alignment horizontal="center" vertical="center" wrapText="1" readingOrder="2"/>
    </xf>
    <xf numFmtId="0" fontId="15" fillId="5" borderId="9" xfId="0" applyFont="1" applyFill="1" applyBorder="1" applyAlignment="1">
      <alignment horizontal="center" vertical="center" wrapText="1" readingOrder="2"/>
    </xf>
  </cellXfs>
  <cellStyles count="9">
    <cellStyle name="Comma 2" xfId="5" xr:uid="{00000000-0005-0000-0000-000000000000}"/>
    <cellStyle name="Hyperlink" xfId="1" builtinId="8"/>
    <cellStyle name="Hyperlink 2" xfId="4" xr:uid="{00000000-0005-0000-0000-000002000000}"/>
    <cellStyle name="Normal" xfId="0" builtinId="0"/>
    <cellStyle name="Normal 2" xfId="3" xr:uid="{00000000-0005-0000-0000-000004000000}"/>
    <cellStyle name="Normal 2 2" xfId="7" xr:uid="{00000000-0005-0000-0000-000005000000}"/>
    <cellStyle name="Normal 3" xfId="6" xr:uid="{00000000-0005-0000-0000-000006000000}"/>
    <cellStyle name="Percent" xfId="2" builtinId="5"/>
    <cellStyle name="Percent 2" xfId="8" xr:uid="{00000000-0005-0000-0000-000008000000}"/>
  </cellStyles>
  <dxfs count="5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34847</xdr:colOff>
      <xdr:row>0</xdr:row>
      <xdr:rowOff>394921</xdr:rowOff>
    </xdr:from>
    <xdr:to>
      <xdr:col>1</xdr:col>
      <xdr:colOff>506065</xdr:colOff>
      <xdr:row>1</xdr:row>
      <xdr:rowOff>2463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D6C6FA6-51E1-40BD-8484-6D9171FCEF4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6991"/>
        <a:stretch/>
      </xdr:blipFill>
      <xdr:spPr>
        <a:xfrm>
          <a:off x="13536121923" y="394921"/>
          <a:ext cx="1086858" cy="487883"/>
        </a:xfrm>
        <a:prstGeom prst="rect">
          <a:avLst/>
        </a:prstGeom>
      </xdr:spPr>
    </xdr:pic>
    <xdr:clientData/>
  </xdr:twoCellAnchor>
  <xdr:twoCellAnchor editAs="oneCell">
    <xdr:from>
      <xdr:col>1</xdr:col>
      <xdr:colOff>836156</xdr:colOff>
      <xdr:row>0</xdr:row>
      <xdr:rowOff>317312</xdr:rowOff>
    </xdr:from>
    <xdr:to>
      <xdr:col>1</xdr:col>
      <xdr:colOff>1943100</xdr:colOff>
      <xdr:row>0</xdr:row>
      <xdr:rowOff>758930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45F67C1-73AE-427B-A4A0-0D0C6075573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34032"/>
        <a:stretch/>
      </xdr:blipFill>
      <xdr:spPr>
        <a:xfrm>
          <a:off x="13443440220" y="317312"/>
          <a:ext cx="1106944" cy="441618"/>
        </a:xfrm>
        <a:prstGeom prst="rect">
          <a:avLst/>
        </a:prstGeom>
      </xdr:spPr>
    </xdr:pic>
    <xdr:clientData/>
  </xdr:twoCellAnchor>
  <xdr:twoCellAnchor editAs="oneCell">
    <xdr:from>
      <xdr:col>0</xdr:col>
      <xdr:colOff>120431</xdr:colOff>
      <xdr:row>0</xdr:row>
      <xdr:rowOff>47504</xdr:rowOff>
    </xdr:from>
    <xdr:to>
      <xdr:col>1</xdr:col>
      <xdr:colOff>1861372</xdr:colOff>
      <xdr:row>0</xdr:row>
      <xdr:rowOff>417481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A2C0D8D-8CB6-4291-B7A7-E71CE9F2D6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475763506" y="47504"/>
          <a:ext cx="2374253" cy="369977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mailto:Hilal@batelco.com.Bh" TargetMode="External"/><Relationship Id="rId21" Type="http://schemas.openxmlformats.org/officeDocument/2006/relationships/hyperlink" Target="mailto:alfatehpreschool@gmail.com" TargetMode="External"/><Relationship Id="rId42" Type="http://schemas.openxmlformats.org/officeDocument/2006/relationships/hyperlink" Target="mailto:alenshirah@gmail.com" TargetMode="External"/><Relationship Id="rId47" Type="http://schemas.openxmlformats.org/officeDocument/2006/relationships/hyperlink" Target="mailto:alanjalkindergarten@hotmail.com" TargetMode="External"/><Relationship Id="rId63" Type="http://schemas.openxmlformats.org/officeDocument/2006/relationships/hyperlink" Target="mailto:Aldiaakg@gmail.com" TargetMode="External"/><Relationship Id="rId68" Type="http://schemas.openxmlformats.org/officeDocument/2006/relationships/hyperlink" Target="mailto:littleangelkindergarten@hotmail.com" TargetMode="External"/><Relationship Id="rId84" Type="http://schemas.openxmlformats.org/officeDocument/2006/relationships/hyperlink" Target="mailto:takweenkg@gmail.com" TargetMode="External"/><Relationship Id="rId89" Type="http://schemas.openxmlformats.org/officeDocument/2006/relationships/hyperlink" Target="mailto:alataakg@outlook.com" TargetMode="External"/><Relationship Id="rId112" Type="http://schemas.openxmlformats.org/officeDocument/2006/relationships/hyperlink" Target="mailto:positivestepskindergarten@gmail.com" TargetMode="External"/><Relationship Id="rId16" Type="http://schemas.openxmlformats.org/officeDocument/2006/relationships/hyperlink" Target="mailto:alsedeeq.kids@gmail.com" TargetMode="External"/><Relationship Id="rId107" Type="http://schemas.openxmlformats.org/officeDocument/2006/relationships/hyperlink" Target="mailto:masabeehalamal@gmail.com" TargetMode="External"/><Relationship Id="rId11" Type="http://schemas.openxmlformats.org/officeDocument/2006/relationships/hyperlink" Target="mailto:zallaqk@gmail.com" TargetMode="External"/><Relationship Id="rId32" Type="http://schemas.openxmlformats.org/officeDocument/2006/relationships/hyperlink" Target="mailto:almozn_1@hotmail.com" TargetMode="External"/><Relationship Id="rId37" Type="http://schemas.openxmlformats.org/officeDocument/2006/relationships/hyperlink" Target="mailto:alwafa.kindergarten@gmail.com" TargetMode="External"/><Relationship Id="rId53" Type="http://schemas.openxmlformats.org/officeDocument/2006/relationships/hyperlink" Target="mailto:albayader.1995@gmail.com" TargetMode="External"/><Relationship Id="rId58" Type="http://schemas.openxmlformats.org/officeDocument/2006/relationships/hyperlink" Target="mailto:alredhakg@hotmail.com" TargetMode="External"/><Relationship Id="rId74" Type="http://schemas.openxmlformats.org/officeDocument/2006/relationships/hyperlink" Target="mailto:oneworldstudents@gmail.com" TargetMode="External"/><Relationship Id="rId79" Type="http://schemas.openxmlformats.org/officeDocument/2006/relationships/hyperlink" Target="mailto:Alyasmeen.kg.bh@gmail.com" TargetMode="External"/><Relationship Id="rId102" Type="http://schemas.openxmlformats.org/officeDocument/2006/relationships/hyperlink" Target="mailto:madeleinespreschool@gmail.com" TargetMode="External"/><Relationship Id="rId123" Type="http://schemas.openxmlformats.org/officeDocument/2006/relationships/hyperlink" Target="mailto:jollyland.kg@gmail.com" TargetMode="External"/><Relationship Id="rId128" Type="http://schemas.openxmlformats.org/officeDocument/2006/relationships/printerSettings" Target="../printerSettings/printerSettings1.bin"/><Relationship Id="rId5" Type="http://schemas.openxmlformats.org/officeDocument/2006/relationships/hyperlink" Target="mailto:albashaer-kg@hotmail.com" TargetMode="External"/><Relationship Id="rId90" Type="http://schemas.openxmlformats.org/officeDocument/2006/relationships/hyperlink" Target="mailto:alfarah0.2015@gmail.com" TargetMode="External"/><Relationship Id="rId95" Type="http://schemas.openxmlformats.org/officeDocument/2006/relationships/hyperlink" Target="mailto:alnajahkindergarten@gmail.com" TargetMode="External"/><Relationship Id="rId22" Type="http://schemas.openxmlformats.org/officeDocument/2006/relationships/hyperlink" Target="mailto:kg.alfurqan@gmail.com" TargetMode="External"/><Relationship Id="rId27" Type="http://schemas.openxmlformats.org/officeDocument/2006/relationships/hyperlink" Target="mailto:majid.alzayani@gmail.com" TargetMode="External"/><Relationship Id="rId43" Type="http://schemas.openxmlformats.org/officeDocument/2006/relationships/hyperlink" Target="mailto:aagk.bh@gmail.com" TargetMode="External"/><Relationship Id="rId48" Type="http://schemas.openxmlformats.org/officeDocument/2006/relationships/hyperlink" Target="mailto:ajyalalmstqbl.19@gmail.com" TargetMode="External"/><Relationship Id="rId64" Type="http://schemas.openxmlformats.org/officeDocument/2006/relationships/hyperlink" Target="mailto:tareeqalkhair01@gmail.com" TargetMode="External"/><Relationship Id="rId69" Type="http://schemas.openxmlformats.org/officeDocument/2006/relationships/hyperlink" Target="mailto:alnebras.kg@outlook.com" TargetMode="External"/><Relationship Id="rId113" Type="http://schemas.openxmlformats.org/officeDocument/2006/relationships/hyperlink" Target="mailto:administration@etonhouse.me" TargetMode="External"/><Relationship Id="rId118" Type="http://schemas.openxmlformats.org/officeDocument/2006/relationships/hyperlink" Target="mailto:nasmahkindergarten@gmail.com" TargetMode="External"/><Relationship Id="rId80" Type="http://schemas.openxmlformats.org/officeDocument/2006/relationships/hyperlink" Target="mailto:noor.almaaref2006@gmail.com" TargetMode="External"/><Relationship Id="rId85" Type="http://schemas.openxmlformats.org/officeDocument/2006/relationships/hyperlink" Target="mailto:alrayyan2006@hotmail.com" TargetMode="External"/><Relationship Id="rId12" Type="http://schemas.openxmlformats.org/officeDocument/2006/relationships/hyperlink" Target="mailto:alzahraakg@gmail.com" TargetMode="External"/><Relationship Id="rId17" Type="http://schemas.openxmlformats.org/officeDocument/2006/relationships/hyperlink" Target="mailto:alsafakinder@gmail.com" TargetMode="External"/><Relationship Id="rId33" Type="http://schemas.openxmlformats.org/officeDocument/2006/relationships/hyperlink" Target="mailto:almaha.kg@hotmail.com" TargetMode="External"/><Relationship Id="rId38" Type="http://schemas.openxmlformats.org/officeDocument/2006/relationships/hyperlink" Target="mailto:madarekkindergarten@gmail.com" TargetMode="External"/><Relationship Id="rId59" Type="http://schemas.openxmlformats.org/officeDocument/2006/relationships/hyperlink" Target="mailto:info@kidscornerbah.com" TargetMode="External"/><Relationship Id="rId103" Type="http://schemas.openxmlformats.org/officeDocument/2006/relationships/hyperlink" Target="mailto:britprepoffice@gmail.com" TargetMode="External"/><Relationship Id="rId108" Type="http://schemas.openxmlformats.org/officeDocument/2006/relationships/hyperlink" Target="mailto:zinatalhaya2008@gmail.com" TargetMode="External"/><Relationship Id="rId124" Type="http://schemas.openxmlformats.org/officeDocument/2006/relationships/hyperlink" Target="mailto:littlehopeskg@gmail.com" TargetMode="External"/><Relationship Id="rId129" Type="http://schemas.openxmlformats.org/officeDocument/2006/relationships/drawing" Target="../drawings/drawing1.xml"/><Relationship Id="rId54" Type="http://schemas.openxmlformats.org/officeDocument/2006/relationships/hyperlink" Target="mailto:admin@thechildrenshousebahrain.com" TargetMode="External"/><Relationship Id="rId70" Type="http://schemas.openxmlformats.org/officeDocument/2006/relationships/hyperlink" Target="mailto:alnoorain313@gmail.com" TargetMode="External"/><Relationship Id="rId75" Type="http://schemas.openxmlformats.org/officeDocument/2006/relationships/hyperlink" Target="mailto:samkindergartenbh@gmail.com" TargetMode="External"/><Relationship Id="rId91" Type="http://schemas.openxmlformats.org/officeDocument/2006/relationships/hyperlink" Target="mailto:Alfardoos2002@hotmail.com" TargetMode="External"/><Relationship Id="rId96" Type="http://schemas.openxmlformats.org/officeDocument/2006/relationships/hyperlink" Target="mailto:alhadikg@gmail.com" TargetMode="External"/><Relationship Id="rId1" Type="http://schemas.openxmlformats.org/officeDocument/2006/relationships/hyperlink" Target="mailto:abjadhawaz@hotmail.co.uk" TargetMode="External"/><Relationship Id="rId6" Type="http://schemas.openxmlformats.org/officeDocument/2006/relationships/hyperlink" Target="mailto:albalabel2002kg@gmail.com" TargetMode="External"/><Relationship Id="rId23" Type="http://schemas.openxmlformats.org/officeDocument/2006/relationships/hyperlink" Target="mailto:alfowzkg@gmail.com" TargetMode="External"/><Relationship Id="rId28" Type="http://schemas.openxmlformats.org/officeDocument/2006/relationships/hyperlink" Target="mailto:smallkgcreator@gmail.com" TargetMode="External"/><Relationship Id="rId49" Type="http://schemas.openxmlformats.org/officeDocument/2006/relationships/hyperlink" Target="mailto:awalkids@gmail.com" TargetMode="External"/><Relationship Id="rId114" Type="http://schemas.openxmlformats.org/officeDocument/2006/relationships/hyperlink" Target="mailto:alrehabkindergarten@hotmail.com" TargetMode="External"/><Relationship Id="rId119" Type="http://schemas.openxmlformats.org/officeDocument/2006/relationships/hyperlink" Target="mailto:alsayahidd25@gmail.com" TargetMode="External"/><Relationship Id="rId44" Type="http://schemas.openxmlformats.org/officeDocument/2006/relationships/hyperlink" Target="mailto:janapreschoolbh@gmail.com" TargetMode="External"/><Relationship Id="rId60" Type="http://schemas.openxmlformats.org/officeDocument/2006/relationships/hyperlink" Target="mailto:reef.kindergarten@gmail.com" TargetMode="External"/><Relationship Id="rId65" Type="http://schemas.openxmlformats.org/officeDocument/2006/relationships/hyperlink" Target="mailto:alghanadil.kg@gmail.com" TargetMode="External"/><Relationship Id="rId81" Type="http://schemas.openxmlformats.org/officeDocument/2006/relationships/hyperlink" Target="mailto:alahadkg@gmail.com" TargetMode="External"/><Relationship Id="rId86" Type="http://schemas.openxmlformats.org/officeDocument/2006/relationships/hyperlink" Target="mailto:admin@nzkgbh.com" TargetMode="External"/><Relationship Id="rId13" Type="http://schemas.openxmlformats.org/officeDocument/2006/relationships/hyperlink" Target="mailto:info.bnfsaj@gmail.com" TargetMode="External"/><Relationship Id="rId18" Type="http://schemas.openxmlformats.org/officeDocument/2006/relationships/hyperlink" Target="mailto:modelkindergartenbh@gmail.com" TargetMode="External"/><Relationship Id="rId39" Type="http://schemas.openxmlformats.org/officeDocument/2006/relationships/hyperlink" Target="mailto:m.ofsmileskindergarten@gmail.com" TargetMode="External"/><Relationship Id="rId109" Type="http://schemas.openxmlformats.org/officeDocument/2006/relationships/hyperlink" Target="mailto:Alreaayakg90@hotmail.com" TargetMode="External"/><Relationship Id="rId34" Type="http://schemas.openxmlformats.org/officeDocument/2006/relationships/hyperlink" Target="mailto:ashwaq.alammadi@gmail.com" TargetMode="External"/><Relationship Id="rId50" Type="http://schemas.openxmlformats.org/officeDocument/2006/relationships/hyperlink" Target="mailto:albudoorkindergarden@gmail.com" TargetMode="External"/><Relationship Id="rId55" Type="http://schemas.openxmlformats.org/officeDocument/2006/relationships/hyperlink" Target="mailto:alhaneen.kindergarten@gmail.com" TargetMode="External"/><Relationship Id="rId76" Type="http://schemas.openxmlformats.org/officeDocument/2006/relationships/hyperlink" Target="mailto:alrabeeh.kg.bh@hotmail.com" TargetMode="External"/><Relationship Id="rId97" Type="http://schemas.openxmlformats.org/officeDocument/2006/relationships/hyperlink" Target="mailto:alyaqeenkindergarten@gmail.com" TargetMode="External"/><Relationship Id="rId104" Type="http://schemas.openxmlformats.org/officeDocument/2006/relationships/hyperlink" Target="mailto:alhuda.kindergarten@gmail.com" TargetMode="External"/><Relationship Id="rId120" Type="http://schemas.openxmlformats.org/officeDocument/2006/relationships/hyperlink" Target="mailto:Horizonps05@gmail.com" TargetMode="External"/><Relationship Id="rId125" Type="http://schemas.openxmlformats.org/officeDocument/2006/relationships/hyperlink" Target="mailto:nhskg.bahrain@gmail.com" TargetMode="External"/><Relationship Id="rId7" Type="http://schemas.openxmlformats.org/officeDocument/2006/relationships/hyperlink" Target="mailto:albawasim@hotmail.com" TargetMode="External"/><Relationship Id="rId71" Type="http://schemas.openxmlformats.org/officeDocument/2006/relationships/hyperlink" Target="mailto:alwalaa.kg@hotmail.com" TargetMode="External"/><Relationship Id="rId92" Type="http://schemas.openxmlformats.org/officeDocument/2006/relationships/hyperlink" Target="mailto:alqudskg@gmail.com" TargetMode="External"/><Relationship Id="rId2" Type="http://schemas.openxmlformats.org/officeDocument/2006/relationships/hyperlink" Target="mailto:al.ehssankg@hotmail.com" TargetMode="External"/><Relationship Id="rId29" Type="http://schemas.openxmlformats.org/officeDocument/2006/relationships/hyperlink" Target="mailto:almajd-kin@hotmail.com" TargetMode="External"/><Relationship Id="rId24" Type="http://schemas.openxmlformats.org/officeDocument/2006/relationships/hyperlink" Target="mailto:littlecaptinkindergaten@gmail.com" TargetMode="External"/><Relationship Id="rId40" Type="http://schemas.openxmlformats.org/officeDocument/2006/relationships/hyperlink" Target="mailto:childrenoasis1@gmail.com" TargetMode="External"/><Relationship Id="rId45" Type="http://schemas.openxmlformats.org/officeDocument/2006/relationships/hyperlink" Target="mailto:Danat-Al-Budaiya@hotmail.com" TargetMode="External"/><Relationship Id="rId66" Type="http://schemas.openxmlformats.org/officeDocument/2006/relationships/hyperlink" Target="mailto:child.almahaba@gmail.com" TargetMode="External"/><Relationship Id="rId87" Type="http://schemas.openxmlformats.org/officeDocument/2006/relationships/hyperlink" Target="mailto:sendebadkg@gmail.com" TargetMode="External"/><Relationship Id="rId110" Type="http://schemas.openxmlformats.org/officeDocument/2006/relationships/hyperlink" Target="mailto:durar.kindergarten@hotmail.com" TargetMode="External"/><Relationship Id="rId115" Type="http://schemas.openxmlformats.org/officeDocument/2006/relationships/hyperlink" Target="mailto:takweenkindergarten80@gmail.com" TargetMode="External"/><Relationship Id="rId61" Type="http://schemas.openxmlformats.org/officeDocument/2006/relationships/hyperlink" Target="mailto:zuhooralghadkg@hotmail.com" TargetMode="External"/><Relationship Id="rId82" Type="http://schemas.openxmlformats.org/officeDocument/2006/relationships/hyperlink" Target="mailto:info@kidzworldkindergarten.com" TargetMode="External"/><Relationship Id="rId19" Type="http://schemas.openxmlformats.org/officeDocument/2006/relationships/hyperlink" Target="mailto:Happy_childhood_kindergarten@hotmail.com" TargetMode="External"/><Relationship Id="rId14" Type="http://schemas.openxmlformats.org/officeDocument/2006/relationships/hyperlink" Target="mailto:albatool1997@gmail.com" TargetMode="External"/><Relationship Id="rId30" Type="http://schemas.openxmlformats.org/officeDocument/2006/relationships/hyperlink" Target="mailto:isatownkg76@gmail.com" TargetMode="External"/><Relationship Id="rId35" Type="http://schemas.openxmlformats.org/officeDocument/2006/relationships/hyperlink" Target="mailto:alnasiriyah2008@gmail.com" TargetMode="External"/><Relationship Id="rId56" Type="http://schemas.openxmlformats.org/officeDocument/2006/relationships/hyperlink" Target="mailto:alkhayratKG@hotmail.com" TargetMode="External"/><Relationship Id="rId77" Type="http://schemas.openxmlformats.org/officeDocument/2006/relationships/hyperlink" Target="mailto:se.mat@hotmail.com" TargetMode="External"/><Relationship Id="rId100" Type="http://schemas.openxmlformats.org/officeDocument/2006/relationships/hyperlink" Target="mailto:umnasser.modelkg@gmail.com" TargetMode="External"/><Relationship Id="rId105" Type="http://schemas.openxmlformats.org/officeDocument/2006/relationships/hyperlink" Target="mailto:afafsaeed12@gmail.com" TargetMode="External"/><Relationship Id="rId126" Type="http://schemas.openxmlformats.org/officeDocument/2006/relationships/hyperlink" Target="mailto:alnoorain2006@gmail.com" TargetMode="External"/><Relationship Id="rId8" Type="http://schemas.openxmlformats.org/officeDocument/2006/relationships/hyperlink" Target="mailto:aljenan95@gmail.com" TargetMode="External"/><Relationship Id="rId51" Type="http://schemas.openxmlformats.org/officeDocument/2006/relationships/hyperlink" Target="mailto:albarakakg.muharraq@hotmail.com" TargetMode="External"/><Relationship Id="rId72" Type="http://schemas.openxmlformats.org/officeDocument/2006/relationships/hyperlink" Target="mailto:pink.n.blue.kg@gmail.com" TargetMode="External"/><Relationship Id="rId93" Type="http://schemas.openxmlformats.org/officeDocument/2006/relationships/hyperlink" Target="mailto:pearls.kg@gmail.com" TargetMode="External"/><Relationship Id="rId98" Type="http://schemas.openxmlformats.org/officeDocument/2006/relationships/hyperlink" Target="mailto:letsstartbh@gmail.com" TargetMode="External"/><Relationship Id="rId121" Type="http://schemas.openxmlformats.org/officeDocument/2006/relationships/hyperlink" Target="mailto:jk2kindergarten@gmail.com" TargetMode="External"/><Relationship Id="rId3" Type="http://schemas.openxmlformats.org/officeDocument/2006/relationships/hyperlink" Target="mailto:aleshraq.kg@gmail.com" TargetMode="External"/><Relationship Id="rId25" Type="http://schemas.openxmlformats.org/officeDocument/2006/relationships/hyperlink" Target="mailto:lamara.preschool@gmail.com" TargetMode="External"/><Relationship Id="rId46" Type="http://schemas.openxmlformats.org/officeDocument/2006/relationships/hyperlink" Target="mailto:fatytaqi4@gmail.com" TargetMode="External"/><Relationship Id="rId67" Type="http://schemas.openxmlformats.org/officeDocument/2006/relationships/hyperlink" Target="mailto:little.explorer3@gmail.com" TargetMode="External"/><Relationship Id="rId116" Type="http://schemas.openxmlformats.org/officeDocument/2006/relationships/hyperlink" Target="mailto:info@budaiyapreschool.com" TargetMode="External"/><Relationship Id="rId20" Type="http://schemas.openxmlformats.org/officeDocument/2006/relationships/hyperlink" Target="mailto:ali.baba.kg@hotmail.com" TargetMode="External"/><Relationship Id="rId41" Type="http://schemas.openxmlformats.org/officeDocument/2006/relationships/hyperlink" Target="mailto:arkankg2@gmail.com" TargetMode="External"/><Relationship Id="rId62" Type="http://schemas.openxmlformats.org/officeDocument/2006/relationships/hyperlink" Target="mailto:shomos96@hotmail.com" TargetMode="External"/><Relationship Id="rId83" Type="http://schemas.openxmlformats.org/officeDocument/2006/relationships/hyperlink" Target="mailto:alsalamkg@gmail.com" TargetMode="External"/><Relationship Id="rId88" Type="http://schemas.openxmlformats.org/officeDocument/2006/relationships/hyperlink" Target="mailto:alduha95@hotmail.com" TargetMode="External"/><Relationship Id="rId111" Type="http://schemas.openxmlformats.org/officeDocument/2006/relationships/hyperlink" Target="mailto:Riseandshinebh1@gmail.com" TargetMode="External"/><Relationship Id="rId15" Type="http://schemas.openxmlformats.org/officeDocument/2006/relationships/hyperlink" Target="mailto:sedratalasafeer@gmail.com" TargetMode="External"/><Relationship Id="rId36" Type="http://schemas.openxmlformats.org/officeDocument/2006/relationships/hyperlink" Target="mailto:alnahdakinder22@gmail.com" TargetMode="External"/><Relationship Id="rId57" Type="http://schemas.openxmlformats.org/officeDocument/2006/relationships/hyperlink" Target="mailto:alduaakg@hotmail.com" TargetMode="External"/><Relationship Id="rId106" Type="http://schemas.openxmlformats.org/officeDocument/2006/relationships/hyperlink" Target="mailto:firststepkg20@gmail.com" TargetMode="External"/><Relationship Id="rId127" Type="http://schemas.openxmlformats.org/officeDocument/2006/relationships/hyperlink" Target="mailto:alnawrapreschool@gmail.com" TargetMode="External"/><Relationship Id="rId10" Type="http://schemas.openxmlformats.org/officeDocument/2006/relationships/hyperlink" Target="mailto:rawan.preschool@gmail.com" TargetMode="External"/><Relationship Id="rId31" Type="http://schemas.openxmlformats.org/officeDocument/2006/relationships/hyperlink" Target="mailto:al.murjan-kindergarten@hotmail.com" TargetMode="External"/><Relationship Id="rId52" Type="http://schemas.openxmlformats.org/officeDocument/2006/relationships/hyperlink" Target="mailto:Al.barakakg.1994@hotmail.com" TargetMode="External"/><Relationship Id="rId73" Type="http://schemas.openxmlformats.org/officeDocument/2006/relationships/hyperlink" Target="mailto:ourchildren.kg@gmail.com" TargetMode="External"/><Relationship Id="rId78" Type="http://schemas.openxmlformats.org/officeDocument/2006/relationships/hyperlink" Target="mailto:alqamarkg2013@gmail.com" TargetMode="External"/><Relationship Id="rId94" Type="http://schemas.openxmlformats.org/officeDocument/2006/relationships/hyperlink" Target="mailto:alfarooqkindergarten1989@gmail.com" TargetMode="External"/><Relationship Id="rId99" Type="http://schemas.openxmlformats.org/officeDocument/2006/relationships/hyperlink" Target="mailto:alsayakindergarten@gmail.com" TargetMode="External"/><Relationship Id="rId101" Type="http://schemas.openxmlformats.org/officeDocument/2006/relationships/hyperlink" Target="mailto:schoolalthuraya@gmail.com" TargetMode="External"/><Relationship Id="rId122" Type="http://schemas.openxmlformats.org/officeDocument/2006/relationships/hyperlink" Target="mailto:newvision_511@hotmail.com" TargetMode="External"/><Relationship Id="rId4" Type="http://schemas.openxmlformats.org/officeDocument/2006/relationships/hyperlink" Target="mailto:info@alimamkg.edu.bh" TargetMode="External"/><Relationship Id="rId9" Type="http://schemas.openxmlformats.org/officeDocument/2006/relationships/hyperlink" Target="mailto:aldana_preschool@hotmail.com" TargetMode="External"/><Relationship Id="rId26" Type="http://schemas.openxmlformats.org/officeDocument/2006/relationships/hyperlink" Target="mailto:Apg_kindergarten@apgschoo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86"/>
  <sheetViews>
    <sheetView rightToLeft="1" tabSelected="1" zoomScale="85" zoomScaleNormal="85" zoomScalePageLayoutView="85" workbookViewId="0">
      <pane ySplit="3" topLeftCell="A81" activePane="bottomLeft" state="frozen"/>
      <selection pane="bottomLeft" activeCell="O83" sqref="O83"/>
    </sheetView>
  </sheetViews>
  <sheetFormatPr defaultColWidth="12.23828125" defaultRowHeight="24.95" customHeight="1" x14ac:dyDescent="0.2"/>
  <cols>
    <col min="1" max="1" width="9.28125" style="1" customWidth="1"/>
    <col min="2" max="2" width="55.69140625" style="1" customWidth="1"/>
    <col min="3" max="3" width="34.16796875" style="1" customWidth="1"/>
    <col min="4" max="4" width="20.04296875" style="1" customWidth="1"/>
    <col min="5" max="5" width="17.21875" style="1" customWidth="1"/>
    <col min="6" max="6" width="22.328125" style="1" customWidth="1"/>
    <col min="7" max="7" width="27.44140625" style="1" customWidth="1"/>
    <col min="8" max="8" width="45.73828125" style="1" customWidth="1"/>
    <col min="9" max="9" width="43.44921875" style="1" customWidth="1"/>
    <col min="10" max="11" width="25.69140625" style="1" customWidth="1"/>
    <col min="12" max="12" width="41.96875" style="1" customWidth="1"/>
    <col min="13" max="13" width="25.69140625" style="1" customWidth="1"/>
    <col min="14" max="14" width="34.4375" style="1" customWidth="1"/>
    <col min="15" max="15" width="29.32421875" style="1" customWidth="1"/>
    <col min="16" max="16" width="32.015625" style="1" customWidth="1"/>
    <col min="17" max="20" width="25.69140625" style="1" customWidth="1"/>
    <col min="21" max="21" width="29.59375" style="1" customWidth="1"/>
    <col min="22" max="22" width="25.69140625" style="1" customWidth="1"/>
    <col min="23" max="23" width="18.5625" style="1" customWidth="1"/>
    <col min="24" max="24" width="34.97265625" style="1" customWidth="1"/>
    <col min="25" max="25" width="16.8125" style="1" customWidth="1"/>
    <col min="26" max="26" width="16.94921875" style="1" customWidth="1"/>
    <col min="27" max="16384" width="12.23828125" style="1"/>
  </cols>
  <sheetData>
    <row r="1" spans="1:27" s="13" customFormat="1" ht="69.75" customHeight="1" x14ac:dyDescent="0.2"/>
    <row r="2" spans="1:27" ht="55.5" customHeight="1" x14ac:dyDescent="0.2">
      <c r="A2" s="51" t="s">
        <v>1112</v>
      </c>
      <c r="B2" s="51"/>
      <c r="C2" s="51"/>
      <c r="D2" s="51"/>
      <c r="E2" s="51"/>
      <c r="F2" s="51"/>
      <c r="G2" s="51"/>
      <c r="H2" s="51"/>
      <c r="I2" s="51"/>
      <c r="J2" s="51"/>
      <c r="K2" s="51"/>
      <c r="L2" s="51"/>
      <c r="M2" s="51"/>
      <c r="N2" s="51"/>
      <c r="O2" s="51"/>
      <c r="P2" s="51"/>
      <c r="Q2" s="51"/>
      <c r="R2" s="51"/>
      <c r="S2" s="51"/>
      <c r="T2" s="51"/>
      <c r="U2" s="51"/>
      <c r="V2" s="51"/>
      <c r="W2" s="51"/>
      <c r="X2" s="51"/>
      <c r="Y2" s="51"/>
      <c r="Z2" s="51"/>
      <c r="AA2" s="51"/>
    </row>
    <row r="3" spans="1:27" ht="54.75" customHeight="1" x14ac:dyDescent="0.25">
      <c r="A3" s="4" t="s">
        <v>139</v>
      </c>
      <c r="B3" s="5" t="s">
        <v>808</v>
      </c>
      <c r="C3" s="5" t="s">
        <v>1072</v>
      </c>
      <c r="D3" s="3" t="s">
        <v>110</v>
      </c>
      <c r="E3" s="3" t="s">
        <v>111</v>
      </c>
      <c r="F3" s="3" t="s">
        <v>797</v>
      </c>
      <c r="G3" s="3" t="s">
        <v>150</v>
      </c>
      <c r="H3" s="3" t="s">
        <v>151</v>
      </c>
      <c r="I3" s="3" t="s">
        <v>152</v>
      </c>
      <c r="J3" s="3" t="s">
        <v>153</v>
      </c>
      <c r="K3" s="3" t="s">
        <v>1092</v>
      </c>
      <c r="L3" s="3" t="s">
        <v>154</v>
      </c>
      <c r="M3" s="3" t="s">
        <v>155</v>
      </c>
      <c r="N3" s="3" t="s">
        <v>156</v>
      </c>
      <c r="O3" s="3" t="s">
        <v>157</v>
      </c>
      <c r="P3" s="3" t="s">
        <v>158</v>
      </c>
      <c r="Q3" s="3" t="s">
        <v>159</v>
      </c>
      <c r="R3" s="3" t="s">
        <v>160</v>
      </c>
      <c r="S3" s="3" t="s">
        <v>161</v>
      </c>
      <c r="T3" s="3" t="s">
        <v>162</v>
      </c>
      <c r="U3" s="3" t="s">
        <v>163</v>
      </c>
      <c r="V3" s="3" t="s">
        <v>164</v>
      </c>
      <c r="W3" s="3" t="s">
        <v>863</v>
      </c>
      <c r="X3" s="3" t="s">
        <v>147</v>
      </c>
      <c r="Y3" s="3" t="s">
        <v>148</v>
      </c>
      <c r="Z3" s="3" t="s">
        <v>480</v>
      </c>
      <c r="AA3" s="3" t="s">
        <v>149</v>
      </c>
    </row>
    <row r="4" spans="1:27" ht="24.95" customHeight="1" x14ac:dyDescent="0.2">
      <c r="A4" s="6">
        <v>1</v>
      </c>
      <c r="B4" s="9" t="s">
        <v>798</v>
      </c>
      <c r="C4" s="9"/>
      <c r="D4" s="14" t="s">
        <v>113</v>
      </c>
      <c r="E4" s="14" t="s">
        <v>115</v>
      </c>
      <c r="F4" s="14">
        <v>235</v>
      </c>
      <c r="G4" s="14">
        <v>39470753</v>
      </c>
      <c r="H4" s="16" t="s">
        <v>165</v>
      </c>
      <c r="I4" s="14" t="s">
        <v>166</v>
      </c>
      <c r="J4" s="14">
        <v>39646637</v>
      </c>
      <c r="K4" s="14"/>
      <c r="L4" s="14" t="s">
        <v>166</v>
      </c>
      <c r="M4" s="14">
        <v>39646637</v>
      </c>
      <c r="N4" s="14" t="s">
        <v>166</v>
      </c>
      <c r="O4" s="14">
        <v>39646637</v>
      </c>
      <c r="P4" s="14" t="s">
        <v>166</v>
      </c>
      <c r="Q4" s="14">
        <v>39646637</v>
      </c>
      <c r="R4" s="14">
        <v>1415</v>
      </c>
      <c r="S4" s="14">
        <v>2629</v>
      </c>
      <c r="T4" s="14">
        <v>626</v>
      </c>
      <c r="U4" s="14" t="s">
        <v>167</v>
      </c>
      <c r="V4" s="14" t="s">
        <v>485</v>
      </c>
      <c r="W4" s="14">
        <v>2005</v>
      </c>
      <c r="X4" s="17" t="s">
        <v>887</v>
      </c>
      <c r="Y4" s="15"/>
      <c r="Z4" s="14" t="s">
        <v>481</v>
      </c>
      <c r="AA4" s="14">
        <v>14</v>
      </c>
    </row>
    <row r="5" spans="1:27" ht="24.95" customHeight="1" x14ac:dyDescent="0.2">
      <c r="A5" s="6">
        <v>2</v>
      </c>
      <c r="B5" s="9" t="s">
        <v>176</v>
      </c>
      <c r="C5" s="9"/>
      <c r="D5" s="14" t="s">
        <v>113</v>
      </c>
      <c r="E5" s="14" t="s">
        <v>115</v>
      </c>
      <c r="F5" s="14">
        <v>132</v>
      </c>
      <c r="G5" s="14" t="s">
        <v>168</v>
      </c>
      <c r="H5" s="16" t="s">
        <v>169</v>
      </c>
      <c r="I5" s="14" t="s">
        <v>170</v>
      </c>
      <c r="J5" s="14">
        <v>39670360</v>
      </c>
      <c r="K5" s="14"/>
      <c r="L5" s="14" t="s">
        <v>170</v>
      </c>
      <c r="M5" s="14">
        <v>39670360</v>
      </c>
      <c r="N5" s="14" t="s">
        <v>170</v>
      </c>
      <c r="O5" s="14">
        <v>39670360</v>
      </c>
      <c r="P5" s="14" t="s">
        <v>171</v>
      </c>
      <c r="Q5" s="14">
        <v>34469440</v>
      </c>
      <c r="R5" s="14">
        <v>1711</v>
      </c>
      <c r="S5" s="14">
        <v>4435</v>
      </c>
      <c r="T5" s="14">
        <v>244</v>
      </c>
      <c r="U5" s="14" t="s">
        <v>172</v>
      </c>
      <c r="V5" s="14" t="s">
        <v>484</v>
      </c>
      <c r="W5" s="14">
        <v>2005</v>
      </c>
      <c r="X5" s="17" t="s">
        <v>888</v>
      </c>
      <c r="Y5" s="15"/>
      <c r="Z5" s="14" t="s">
        <v>482</v>
      </c>
      <c r="AA5" s="14">
        <v>7</v>
      </c>
    </row>
    <row r="6" spans="1:27" ht="24.95" customHeight="1" x14ac:dyDescent="0.2">
      <c r="A6" s="6">
        <v>3</v>
      </c>
      <c r="B6" s="9" t="s">
        <v>90</v>
      </c>
      <c r="C6" s="9"/>
      <c r="D6" s="14" t="s">
        <v>113</v>
      </c>
      <c r="E6" s="14" t="s">
        <v>115</v>
      </c>
      <c r="F6" s="14">
        <v>87</v>
      </c>
      <c r="G6" s="14">
        <v>77080792</v>
      </c>
      <c r="H6" s="16" t="s">
        <v>857</v>
      </c>
      <c r="I6" s="14" t="s">
        <v>804</v>
      </c>
      <c r="J6" s="14">
        <v>33999712</v>
      </c>
      <c r="K6" s="14"/>
      <c r="L6" s="14" t="s">
        <v>174</v>
      </c>
      <c r="M6" s="14">
        <v>33999712</v>
      </c>
      <c r="N6" s="14" t="s">
        <v>174</v>
      </c>
      <c r="O6" s="14">
        <v>33999712</v>
      </c>
      <c r="P6" s="14" t="s">
        <v>174</v>
      </c>
      <c r="Q6" s="14">
        <v>33999712</v>
      </c>
      <c r="R6" s="14">
        <v>1552</v>
      </c>
      <c r="S6" s="14">
        <v>1128</v>
      </c>
      <c r="T6" s="14">
        <v>711</v>
      </c>
      <c r="U6" s="14" t="s">
        <v>175</v>
      </c>
      <c r="V6" s="14" t="s">
        <v>485</v>
      </c>
      <c r="W6" s="14">
        <v>2020</v>
      </c>
      <c r="X6" s="17" t="s">
        <v>889</v>
      </c>
      <c r="Y6" s="14"/>
      <c r="Z6" s="14" t="s">
        <v>809</v>
      </c>
      <c r="AA6" s="14">
        <v>5</v>
      </c>
    </row>
    <row r="7" spans="1:27" ht="24.95" customHeight="1" x14ac:dyDescent="0.2">
      <c r="A7" s="6">
        <v>4</v>
      </c>
      <c r="B7" s="9" t="s">
        <v>133</v>
      </c>
      <c r="C7" s="9"/>
      <c r="D7" s="14" t="s">
        <v>113</v>
      </c>
      <c r="E7" s="14" t="s">
        <v>115</v>
      </c>
      <c r="F7" s="14">
        <v>87</v>
      </c>
      <c r="G7" s="14" t="s">
        <v>177</v>
      </c>
      <c r="H7" s="16" t="s">
        <v>178</v>
      </c>
      <c r="I7" s="14" t="s">
        <v>180</v>
      </c>
      <c r="J7" s="14">
        <v>39434384</v>
      </c>
      <c r="K7" s="14"/>
      <c r="L7" s="14" t="s">
        <v>181</v>
      </c>
      <c r="M7" s="14">
        <v>39257899</v>
      </c>
      <c r="N7" s="14" t="s">
        <v>181</v>
      </c>
      <c r="O7" s="14">
        <v>39257899</v>
      </c>
      <c r="P7" s="14" t="s">
        <v>182</v>
      </c>
      <c r="Q7" s="14">
        <v>17441229</v>
      </c>
      <c r="R7" s="14">
        <v>404</v>
      </c>
      <c r="S7" s="14">
        <v>46</v>
      </c>
      <c r="T7" s="14">
        <v>1048</v>
      </c>
      <c r="U7" s="14" t="s">
        <v>179</v>
      </c>
      <c r="V7" s="14" t="s">
        <v>486</v>
      </c>
      <c r="W7" s="14">
        <v>2022</v>
      </c>
      <c r="X7" s="17" t="s">
        <v>890</v>
      </c>
      <c r="Y7" s="14"/>
      <c r="Z7" s="14" t="s">
        <v>810</v>
      </c>
      <c r="AA7" s="14">
        <v>11</v>
      </c>
    </row>
    <row r="8" spans="1:27" ht="24.95" customHeight="1" x14ac:dyDescent="0.2">
      <c r="A8" s="6">
        <v>5</v>
      </c>
      <c r="B8" s="9" t="s">
        <v>134</v>
      </c>
      <c r="C8" s="9"/>
      <c r="D8" s="14" t="s">
        <v>113</v>
      </c>
      <c r="E8" s="14" t="s">
        <v>115</v>
      </c>
      <c r="F8" s="14">
        <v>132</v>
      </c>
      <c r="G8" s="14" t="s">
        <v>183</v>
      </c>
      <c r="H8" s="16" t="s">
        <v>184</v>
      </c>
      <c r="I8" s="14" t="s">
        <v>1161</v>
      </c>
      <c r="J8" s="14">
        <v>39601341</v>
      </c>
      <c r="K8" s="14"/>
      <c r="L8" s="14" t="s">
        <v>185</v>
      </c>
      <c r="M8" s="14">
        <v>33316012</v>
      </c>
      <c r="N8" s="14" t="s">
        <v>186</v>
      </c>
      <c r="O8" s="14">
        <v>36626650</v>
      </c>
      <c r="P8" s="14" t="s">
        <v>187</v>
      </c>
      <c r="Q8" s="14" t="s">
        <v>188</v>
      </c>
      <c r="R8" s="14">
        <v>55</v>
      </c>
      <c r="S8" s="14">
        <v>1101</v>
      </c>
      <c r="T8" s="14">
        <v>911</v>
      </c>
      <c r="U8" s="14" t="s">
        <v>189</v>
      </c>
      <c r="V8" s="14" t="s">
        <v>487</v>
      </c>
      <c r="W8" s="14">
        <v>2019</v>
      </c>
      <c r="X8" s="17" t="s">
        <v>891</v>
      </c>
      <c r="Y8" s="15"/>
      <c r="Z8" s="14" t="s">
        <v>483</v>
      </c>
      <c r="AA8" s="14">
        <v>7</v>
      </c>
    </row>
    <row r="9" spans="1:27" ht="24.95" customHeight="1" x14ac:dyDescent="0.2">
      <c r="A9" s="6">
        <v>6</v>
      </c>
      <c r="B9" s="9" t="s">
        <v>135</v>
      </c>
      <c r="C9" s="9"/>
      <c r="D9" s="14" t="s">
        <v>113</v>
      </c>
      <c r="E9" s="14" t="s">
        <v>115</v>
      </c>
      <c r="F9" s="14">
        <v>95</v>
      </c>
      <c r="G9" s="14">
        <v>17660558</v>
      </c>
      <c r="H9" s="16" t="s">
        <v>491</v>
      </c>
      <c r="I9" s="14" t="s">
        <v>492</v>
      </c>
      <c r="J9" s="14">
        <v>39282281</v>
      </c>
      <c r="K9" s="14"/>
      <c r="L9" s="14" t="s">
        <v>492</v>
      </c>
      <c r="M9" s="14">
        <v>39282281</v>
      </c>
      <c r="N9" s="14" t="s">
        <v>489</v>
      </c>
      <c r="O9" s="14">
        <v>32240442</v>
      </c>
      <c r="P9" s="14" t="s">
        <v>489</v>
      </c>
      <c r="Q9" s="14">
        <v>32240442</v>
      </c>
      <c r="R9" s="14">
        <v>896</v>
      </c>
      <c r="S9" s="14">
        <v>1421</v>
      </c>
      <c r="T9" s="14">
        <v>914</v>
      </c>
      <c r="U9" s="14" t="s">
        <v>257</v>
      </c>
      <c r="V9" s="14" t="s">
        <v>487</v>
      </c>
      <c r="W9" s="14">
        <v>2007</v>
      </c>
      <c r="X9" s="17" t="s">
        <v>892</v>
      </c>
      <c r="Y9" s="14"/>
      <c r="Z9" s="14" t="s">
        <v>490</v>
      </c>
      <c r="AA9" s="14">
        <v>7</v>
      </c>
    </row>
    <row r="10" spans="1:27" ht="24.95" customHeight="1" x14ac:dyDescent="0.2">
      <c r="A10" s="6">
        <v>7</v>
      </c>
      <c r="B10" s="9" t="s">
        <v>61</v>
      </c>
      <c r="C10" s="9"/>
      <c r="D10" s="14" t="s">
        <v>113</v>
      </c>
      <c r="E10" s="14" t="s">
        <v>115</v>
      </c>
      <c r="F10" s="14">
        <v>161</v>
      </c>
      <c r="G10" s="14" t="s">
        <v>398</v>
      </c>
      <c r="H10" s="16" t="s">
        <v>399</v>
      </c>
      <c r="I10" s="14" t="s">
        <v>400</v>
      </c>
      <c r="J10" s="14">
        <v>39777640</v>
      </c>
      <c r="K10" s="14"/>
      <c r="L10" s="14" t="s">
        <v>402</v>
      </c>
      <c r="M10" s="14">
        <v>39535276</v>
      </c>
      <c r="N10" s="14" t="s">
        <v>401</v>
      </c>
      <c r="O10" s="14">
        <v>39535276</v>
      </c>
      <c r="P10" s="14" t="s">
        <v>403</v>
      </c>
      <c r="Q10" s="14" t="s">
        <v>404</v>
      </c>
      <c r="R10" s="14">
        <v>2765</v>
      </c>
      <c r="S10" s="14">
        <v>4591</v>
      </c>
      <c r="T10" s="14">
        <v>545</v>
      </c>
      <c r="U10" s="14" t="s">
        <v>405</v>
      </c>
      <c r="V10" s="14" t="s">
        <v>486</v>
      </c>
      <c r="W10" s="14">
        <v>2008</v>
      </c>
      <c r="X10" s="17" t="s">
        <v>893</v>
      </c>
      <c r="Y10" s="15"/>
      <c r="Z10" s="14" t="s">
        <v>811</v>
      </c>
      <c r="AA10" s="14">
        <v>16</v>
      </c>
    </row>
    <row r="11" spans="1:27" ht="24.95" customHeight="1" x14ac:dyDescent="0.2">
      <c r="A11" s="6">
        <v>8</v>
      </c>
      <c r="B11" s="9" t="s">
        <v>84</v>
      </c>
      <c r="C11" s="9"/>
      <c r="D11" s="14" t="s">
        <v>113</v>
      </c>
      <c r="E11" s="14" t="s">
        <v>115</v>
      </c>
      <c r="F11" s="14">
        <v>132</v>
      </c>
      <c r="G11" s="14" t="s">
        <v>495</v>
      </c>
      <c r="H11" s="16" t="s">
        <v>496</v>
      </c>
      <c r="I11" s="14" t="s">
        <v>493</v>
      </c>
      <c r="J11" s="14">
        <v>35057933</v>
      </c>
      <c r="K11" s="14"/>
      <c r="L11" s="14" t="s">
        <v>493</v>
      </c>
      <c r="M11" s="14" t="s">
        <v>498</v>
      </c>
      <c r="N11" s="14" t="s">
        <v>493</v>
      </c>
      <c r="O11" s="14">
        <v>35057933</v>
      </c>
      <c r="P11" s="14" t="s">
        <v>493</v>
      </c>
      <c r="Q11" s="14">
        <v>35057933</v>
      </c>
      <c r="R11" s="14">
        <v>1162</v>
      </c>
      <c r="S11" s="14">
        <v>4128</v>
      </c>
      <c r="T11" s="14">
        <v>941</v>
      </c>
      <c r="U11" s="14" t="s">
        <v>497</v>
      </c>
      <c r="V11" s="14" t="s">
        <v>487</v>
      </c>
      <c r="W11" s="14">
        <v>2019</v>
      </c>
      <c r="X11" s="17" t="s">
        <v>894</v>
      </c>
      <c r="Y11" s="14"/>
      <c r="Z11" s="14" t="s">
        <v>494</v>
      </c>
      <c r="AA11" s="14">
        <v>6</v>
      </c>
    </row>
    <row r="12" spans="1:27" ht="36.75" customHeight="1" x14ac:dyDescent="0.2">
      <c r="A12" s="6">
        <v>9</v>
      </c>
      <c r="B12" s="9" t="s">
        <v>6</v>
      </c>
      <c r="C12" s="9"/>
      <c r="D12" s="14" t="s">
        <v>113</v>
      </c>
      <c r="E12" s="14" t="s">
        <v>115</v>
      </c>
      <c r="F12" s="14">
        <v>96</v>
      </c>
      <c r="G12" s="14">
        <v>17713960</v>
      </c>
      <c r="H12" s="16" t="s">
        <v>713</v>
      </c>
      <c r="I12" s="14" t="s">
        <v>714</v>
      </c>
      <c r="J12" s="14">
        <v>39652626</v>
      </c>
      <c r="K12" s="14"/>
      <c r="L12" s="14" t="s">
        <v>715</v>
      </c>
      <c r="M12" s="14">
        <v>36688658</v>
      </c>
      <c r="N12" s="14" t="s">
        <v>715</v>
      </c>
      <c r="O12" s="14">
        <v>36688658</v>
      </c>
      <c r="P12" s="14" t="s">
        <v>715</v>
      </c>
      <c r="Q12" s="14">
        <v>36688658</v>
      </c>
      <c r="R12" s="14" t="s">
        <v>772</v>
      </c>
      <c r="S12" s="14">
        <v>2421</v>
      </c>
      <c r="T12" s="14">
        <v>324</v>
      </c>
      <c r="U12" s="14" t="s">
        <v>220</v>
      </c>
      <c r="V12" s="14" t="s">
        <v>485</v>
      </c>
      <c r="W12" s="14">
        <v>1990</v>
      </c>
      <c r="X12" s="17" t="s">
        <v>895</v>
      </c>
      <c r="Y12" s="15"/>
      <c r="Z12" s="14" t="s">
        <v>790</v>
      </c>
      <c r="AA12" s="14">
        <v>5</v>
      </c>
    </row>
    <row r="13" spans="1:27" ht="24.95" customHeight="1" x14ac:dyDescent="0.2">
      <c r="A13" s="6">
        <v>10</v>
      </c>
      <c r="B13" s="9" t="s">
        <v>799</v>
      </c>
      <c r="C13" s="9"/>
      <c r="D13" s="14" t="s">
        <v>113</v>
      </c>
      <c r="E13" s="14" t="s">
        <v>115</v>
      </c>
      <c r="F13" s="14">
        <v>138</v>
      </c>
      <c r="G13" s="14">
        <v>17673620</v>
      </c>
      <c r="H13" s="16" t="s">
        <v>500</v>
      </c>
      <c r="I13" s="14" t="s">
        <v>501</v>
      </c>
      <c r="J13" s="14">
        <v>17678947</v>
      </c>
      <c r="K13" s="14"/>
      <c r="L13" s="14" t="s">
        <v>1046</v>
      </c>
      <c r="M13" s="14">
        <v>33434940</v>
      </c>
      <c r="N13" s="14" t="s">
        <v>1046</v>
      </c>
      <c r="O13" s="14">
        <v>33434940</v>
      </c>
      <c r="P13" s="14" t="s">
        <v>499</v>
      </c>
      <c r="Q13" s="14">
        <v>33434940</v>
      </c>
      <c r="R13" s="14">
        <v>573</v>
      </c>
      <c r="S13" s="14">
        <v>4415</v>
      </c>
      <c r="T13" s="14">
        <v>244</v>
      </c>
      <c r="U13" s="14" t="s">
        <v>172</v>
      </c>
      <c r="V13" s="14" t="s">
        <v>484</v>
      </c>
      <c r="W13" s="14">
        <v>1980</v>
      </c>
      <c r="X13" s="17" t="s">
        <v>897</v>
      </c>
      <c r="Y13" s="14"/>
      <c r="Z13" s="17" t="s">
        <v>855</v>
      </c>
      <c r="AA13" s="14">
        <v>7</v>
      </c>
    </row>
    <row r="14" spans="1:27" ht="24.95" customHeight="1" x14ac:dyDescent="0.2">
      <c r="A14" s="6">
        <v>11</v>
      </c>
      <c r="B14" s="9" t="s">
        <v>94</v>
      </c>
      <c r="C14" s="9"/>
      <c r="D14" s="14" t="s">
        <v>113</v>
      </c>
      <c r="E14" s="14" t="s">
        <v>115</v>
      </c>
      <c r="F14" s="14">
        <v>376</v>
      </c>
      <c r="G14" s="14">
        <v>17595060</v>
      </c>
      <c r="H14" s="14" t="s">
        <v>410</v>
      </c>
      <c r="I14" s="14" t="s">
        <v>406</v>
      </c>
      <c r="J14" s="14">
        <v>39456669</v>
      </c>
      <c r="K14" s="14"/>
      <c r="L14" s="14" t="s">
        <v>407</v>
      </c>
      <c r="M14" s="14">
        <v>33782992</v>
      </c>
      <c r="N14" s="14" t="s">
        <v>411</v>
      </c>
      <c r="O14" s="14">
        <v>39456669</v>
      </c>
      <c r="P14" s="14" t="s">
        <v>407</v>
      </c>
      <c r="Q14" s="14">
        <v>17595060</v>
      </c>
      <c r="R14" s="14">
        <v>1180</v>
      </c>
      <c r="S14" s="14">
        <v>80</v>
      </c>
      <c r="T14" s="14">
        <v>426</v>
      </c>
      <c r="U14" s="14" t="s">
        <v>408</v>
      </c>
      <c r="V14" s="14" t="s">
        <v>485</v>
      </c>
      <c r="W14" s="14">
        <v>1997</v>
      </c>
      <c r="X14" s="17" t="s">
        <v>898</v>
      </c>
      <c r="Y14" s="14"/>
      <c r="Z14" s="14" t="s">
        <v>518</v>
      </c>
      <c r="AA14" s="14">
        <v>23</v>
      </c>
    </row>
    <row r="15" spans="1:27" ht="24.95" customHeight="1" x14ac:dyDescent="0.2">
      <c r="A15" s="6">
        <v>12</v>
      </c>
      <c r="B15" s="9" t="s">
        <v>91</v>
      </c>
      <c r="C15" s="9"/>
      <c r="D15" s="14" t="s">
        <v>113</v>
      </c>
      <c r="E15" s="14" t="s">
        <v>115</v>
      </c>
      <c r="F15" s="14">
        <v>250</v>
      </c>
      <c r="G15" s="14">
        <v>17685600</v>
      </c>
      <c r="H15" s="14" t="s">
        <v>410</v>
      </c>
      <c r="I15" s="14" t="s">
        <v>411</v>
      </c>
      <c r="J15" s="14">
        <v>39456669</v>
      </c>
      <c r="K15" s="14"/>
      <c r="L15" s="14" t="s">
        <v>411</v>
      </c>
      <c r="M15" s="14">
        <v>39456669</v>
      </c>
      <c r="N15" s="14" t="s">
        <v>411</v>
      </c>
      <c r="O15" s="14">
        <v>39456669</v>
      </c>
      <c r="P15" s="14" t="s">
        <v>411</v>
      </c>
      <c r="Q15" s="14">
        <v>39456669</v>
      </c>
      <c r="R15" s="14">
        <v>500</v>
      </c>
      <c r="S15" s="14">
        <v>2121</v>
      </c>
      <c r="T15" s="14">
        <v>721</v>
      </c>
      <c r="U15" s="14" t="s">
        <v>414</v>
      </c>
      <c r="V15" s="14" t="s">
        <v>485</v>
      </c>
      <c r="W15" s="14">
        <v>1997</v>
      </c>
      <c r="X15" s="17" t="s">
        <v>899</v>
      </c>
      <c r="Y15" s="14"/>
      <c r="Z15" s="14" t="s">
        <v>502</v>
      </c>
      <c r="AA15" s="14">
        <v>10</v>
      </c>
    </row>
    <row r="16" spans="1:27" ht="24.95" customHeight="1" x14ac:dyDescent="0.2">
      <c r="A16" s="6">
        <v>13</v>
      </c>
      <c r="B16" s="9" t="s">
        <v>92</v>
      </c>
      <c r="C16" s="9"/>
      <c r="D16" s="14" t="s">
        <v>113</v>
      </c>
      <c r="E16" s="14" t="s">
        <v>115</v>
      </c>
      <c r="F16" s="19">
        <v>100</v>
      </c>
      <c r="G16" s="14">
        <v>17640401</v>
      </c>
      <c r="H16" s="16" t="s">
        <v>410</v>
      </c>
      <c r="I16" s="14" t="s">
        <v>415</v>
      </c>
      <c r="J16" s="14">
        <v>39456669</v>
      </c>
      <c r="K16" s="14"/>
      <c r="L16" s="14" t="s">
        <v>416</v>
      </c>
      <c r="M16" s="14">
        <v>17640401</v>
      </c>
      <c r="N16" s="14" t="s">
        <v>415</v>
      </c>
      <c r="O16" s="14">
        <v>39456669</v>
      </c>
      <c r="P16" s="14" t="s">
        <v>416</v>
      </c>
      <c r="Q16" s="14">
        <v>39237784</v>
      </c>
      <c r="R16" s="14">
        <v>185</v>
      </c>
      <c r="S16" s="14">
        <v>3067</v>
      </c>
      <c r="T16" s="14">
        <v>736</v>
      </c>
      <c r="U16" s="14" t="s">
        <v>413</v>
      </c>
      <c r="V16" s="14" t="s">
        <v>486</v>
      </c>
      <c r="W16" s="14">
        <v>2002</v>
      </c>
      <c r="X16" s="17" t="s">
        <v>900</v>
      </c>
      <c r="Y16" s="14"/>
      <c r="Z16" s="14" t="s">
        <v>517</v>
      </c>
      <c r="AA16" s="14">
        <v>9</v>
      </c>
    </row>
    <row r="17" spans="1:27" ht="35.25" customHeight="1" x14ac:dyDescent="0.2">
      <c r="A17" s="6">
        <v>14</v>
      </c>
      <c r="B17" s="9" t="s">
        <v>93</v>
      </c>
      <c r="C17" s="9"/>
      <c r="D17" s="14" t="s">
        <v>113</v>
      </c>
      <c r="E17" s="14" t="s">
        <v>115</v>
      </c>
      <c r="F17" s="14">
        <v>132</v>
      </c>
      <c r="G17" s="14">
        <v>17877008</v>
      </c>
      <c r="H17" s="14" t="s">
        <v>410</v>
      </c>
      <c r="I17" s="14" t="s">
        <v>411</v>
      </c>
      <c r="J17" s="14">
        <v>39456669</v>
      </c>
      <c r="K17" s="14"/>
      <c r="L17" s="14" t="s">
        <v>417</v>
      </c>
      <c r="M17" s="14">
        <v>338822334</v>
      </c>
      <c r="N17" s="14" t="s">
        <v>418</v>
      </c>
      <c r="O17" s="14">
        <v>39456669</v>
      </c>
      <c r="P17" s="14" t="s">
        <v>419</v>
      </c>
      <c r="Q17" s="14">
        <v>338822334</v>
      </c>
      <c r="R17" s="14">
        <v>245</v>
      </c>
      <c r="S17" s="14">
        <v>3</v>
      </c>
      <c r="T17" s="14">
        <v>707</v>
      </c>
      <c r="U17" s="14" t="s">
        <v>420</v>
      </c>
      <c r="V17" s="14" t="s">
        <v>485</v>
      </c>
      <c r="W17" s="14">
        <v>2001</v>
      </c>
      <c r="X17" s="17" t="s">
        <v>901</v>
      </c>
      <c r="Y17" s="15"/>
      <c r="Z17" s="14" t="s">
        <v>503</v>
      </c>
      <c r="AA17" s="14">
        <v>6</v>
      </c>
    </row>
    <row r="18" spans="1:27" ht="24.95" customHeight="1" x14ac:dyDescent="0.2">
      <c r="A18" s="6">
        <v>15</v>
      </c>
      <c r="B18" s="9" t="s">
        <v>47</v>
      </c>
      <c r="C18" s="9"/>
      <c r="D18" s="14" t="s">
        <v>113</v>
      </c>
      <c r="E18" s="14" t="s">
        <v>115</v>
      </c>
      <c r="F18" s="14">
        <v>198</v>
      </c>
      <c r="G18" s="14" t="s">
        <v>421</v>
      </c>
      <c r="H18" s="16" t="s">
        <v>422</v>
      </c>
      <c r="I18" s="14" t="s">
        <v>423</v>
      </c>
      <c r="J18" s="14" t="s">
        <v>505</v>
      </c>
      <c r="K18" s="14"/>
      <c r="L18" s="14" t="s">
        <v>1047</v>
      </c>
      <c r="M18" s="14">
        <v>39883338</v>
      </c>
      <c r="N18" s="14" t="s">
        <v>423</v>
      </c>
      <c r="O18" s="14" t="s">
        <v>505</v>
      </c>
      <c r="P18" s="14" t="s">
        <v>424</v>
      </c>
      <c r="Q18" s="14">
        <v>38885292</v>
      </c>
      <c r="R18" s="14">
        <v>3099</v>
      </c>
      <c r="S18" s="14">
        <v>4394</v>
      </c>
      <c r="T18" s="14">
        <v>743</v>
      </c>
      <c r="U18" s="14" t="s">
        <v>354</v>
      </c>
      <c r="V18" s="14" t="s">
        <v>485</v>
      </c>
      <c r="W18" s="14">
        <v>2005</v>
      </c>
      <c r="X18" s="17" t="s">
        <v>902</v>
      </c>
      <c r="Y18" s="15"/>
      <c r="Z18" s="14" t="s">
        <v>504</v>
      </c>
      <c r="AA18" s="14">
        <v>6</v>
      </c>
    </row>
    <row r="19" spans="1:27" ht="24.95" customHeight="1" x14ac:dyDescent="0.2">
      <c r="A19" s="6">
        <v>16</v>
      </c>
      <c r="B19" s="9" t="s">
        <v>20</v>
      </c>
      <c r="C19" s="9"/>
      <c r="D19" s="14" t="s">
        <v>113</v>
      </c>
      <c r="E19" s="14" t="s">
        <v>115</v>
      </c>
      <c r="F19" s="14">
        <v>130</v>
      </c>
      <c r="G19" s="14">
        <v>17732022</v>
      </c>
      <c r="H19" s="16" t="s">
        <v>190</v>
      </c>
      <c r="I19" s="14" t="s">
        <v>191</v>
      </c>
      <c r="J19" s="14">
        <v>34075262</v>
      </c>
      <c r="K19" s="14"/>
      <c r="L19" s="14" t="s">
        <v>191</v>
      </c>
      <c r="M19" s="14">
        <v>34075262</v>
      </c>
      <c r="N19" s="14" t="s">
        <v>192</v>
      </c>
      <c r="O19" s="14">
        <v>33841599</v>
      </c>
      <c r="P19" s="14" t="s">
        <v>192</v>
      </c>
      <c r="Q19" s="14">
        <v>33841599</v>
      </c>
      <c r="R19" s="14">
        <v>3039</v>
      </c>
      <c r="S19" s="14">
        <v>645</v>
      </c>
      <c r="T19" s="14">
        <v>606</v>
      </c>
      <c r="U19" s="14" t="s">
        <v>193</v>
      </c>
      <c r="V19" s="14" t="s">
        <v>485</v>
      </c>
      <c r="W19" s="14">
        <v>1997</v>
      </c>
      <c r="X19" s="17" t="s">
        <v>903</v>
      </c>
      <c r="Y19" s="15"/>
      <c r="Z19" s="14" t="s">
        <v>506</v>
      </c>
      <c r="AA19" s="14">
        <v>8</v>
      </c>
    </row>
    <row r="20" spans="1:27" ht="24.75" customHeight="1" x14ac:dyDescent="0.2">
      <c r="A20" s="6">
        <v>17</v>
      </c>
      <c r="B20" s="9" t="s">
        <v>66</v>
      </c>
      <c r="C20" s="9"/>
      <c r="D20" s="14" t="s">
        <v>113</v>
      </c>
      <c r="E20" s="14" t="s">
        <v>115</v>
      </c>
      <c r="F20" s="14">
        <v>117</v>
      </c>
      <c r="G20" s="14">
        <v>66341144</v>
      </c>
      <c r="H20" s="16" t="s">
        <v>509</v>
      </c>
      <c r="I20" s="14" t="s">
        <v>510</v>
      </c>
      <c r="J20" s="14">
        <v>36050032</v>
      </c>
      <c r="K20" s="14"/>
      <c r="L20" s="14" t="s">
        <v>510</v>
      </c>
      <c r="M20" s="14">
        <v>66341144</v>
      </c>
      <c r="N20" s="14" t="s">
        <v>510</v>
      </c>
      <c r="O20" s="14">
        <v>66341144</v>
      </c>
      <c r="P20" s="14" t="s">
        <v>507</v>
      </c>
      <c r="Q20" s="14">
        <v>66341144</v>
      </c>
      <c r="R20" s="14">
        <v>267</v>
      </c>
      <c r="S20" s="14">
        <v>505</v>
      </c>
      <c r="T20" s="14">
        <v>1205</v>
      </c>
      <c r="U20" s="14" t="s">
        <v>511</v>
      </c>
      <c r="V20" s="14" t="s">
        <v>486</v>
      </c>
      <c r="W20" s="14">
        <v>2008</v>
      </c>
      <c r="X20" s="17" t="s">
        <v>904</v>
      </c>
      <c r="Y20" s="15"/>
      <c r="Z20" s="14" t="s">
        <v>508</v>
      </c>
      <c r="AA20" s="14">
        <v>7</v>
      </c>
    </row>
    <row r="21" spans="1:27" ht="24.95" customHeight="1" x14ac:dyDescent="0.2">
      <c r="A21" s="6">
        <v>18</v>
      </c>
      <c r="B21" s="9" t="s">
        <v>15</v>
      </c>
      <c r="C21" s="9"/>
      <c r="D21" s="14" t="s">
        <v>113</v>
      </c>
      <c r="E21" s="14" t="s">
        <v>115</v>
      </c>
      <c r="F21" s="14">
        <v>126</v>
      </c>
      <c r="G21" s="14">
        <v>17332488</v>
      </c>
      <c r="H21" s="18" t="s">
        <v>1037</v>
      </c>
      <c r="I21" s="14" t="s">
        <v>194</v>
      </c>
      <c r="J21" s="14">
        <v>39657778</v>
      </c>
      <c r="K21" s="14"/>
      <c r="L21" s="14" t="s">
        <v>195</v>
      </c>
      <c r="M21" s="14">
        <v>39532230</v>
      </c>
      <c r="N21" s="14" t="s">
        <v>195</v>
      </c>
      <c r="O21" s="14">
        <v>39532230</v>
      </c>
      <c r="P21" s="14" t="s">
        <v>195</v>
      </c>
      <c r="Q21" s="14" t="s">
        <v>196</v>
      </c>
      <c r="R21" s="14">
        <v>989</v>
      </c>
      <c r="S21" s="14">
        <v>239</v>
      </c>
      <c r="T21" s="14">
        <v>202</v>
      </c>
      <c r="U21" s="14" t="s">
        <v>197</v>
      </c>
      <c r="V21" s="14" t="s">
        <v>484</v>
      </c>
      <c r="W21" s="14">
        <v>1994</v>
      </c>
      <c r="X21" s="17" t="s">
        <v>905</v>
      </c>
      <c r="Y21" s="14"/>
      <c r="Z21" s="14" t="s">
        <v>813</v>
      </c>
      <c r="AA21" s="14">
        <v>9</v>
      </c>
    </row>
    <row r="22" spans="1:27" ht="24.95" customHeight="1" x14ac:dyDescent="0.2">
      <c r="A22" s="6">
        <v>19</v>
      </c>
      <c r="B22" s="9" t="s">
        <v>16</v>
      </c>
      <c r="C22" s="9"/>
      <c r="D22" s="14" t="s">
        <v>113</v>
      </c>
      <c r="E22" s="14" t="s">
        <v>115</v>
      </c>
      <c r="F22" s="14">
        <v>148</v>
      </c>
      <c r="G22" s="14">
        <v>17411200</v>
      </c>
      <c r="H22" s="16" t="s">
        <v>513</v>
      </c>
      <c r="I22" s="14" t="s">
        <v>194</v>
      </c>
      <c r="J22" s="14">
        <v>39657778</v>
      </c>
      <c r="K22" s="14"/>
      <c r="L22" s="14" t="s">
        <v>1048</v>
      </c>
      <c r="M22" s="14">
        <v>36180593</v>
      </c>
      <c r="N22" s="14" t="s">
        <v>514</v>
      </c>
      <c r="O22" s="14">
        <v>36517679</v>
      </c>
      <c r="P22" s="14" t="s">
        <v>514</v>
      </c>
      <c r="Q22" s="14">
        <v>36517679</v>
      </c>
      <c r="R22" s="14">
        <v>1192</v>
      </c>
      <c r="S22" s="14">
        <v>317</v>
      </c>
      <c r="T22" s="14">
        <v>1203</v>
      </c>
      <c r="U22" s="14" t="s">
        <v>474</v>
      </c>
      <c r="V22" s="14" t="s">
        <v>486</v>
      </c>
      <c r="W22" s="14">
        <v>2016</v>
      </c>
      <c r="X22" s="17" t="s">
        <v>906</v>
      </c>
      <c r="Y22" s="14"/>
      <c r="Z22" s="14" t="s">
        <v>814</v>
      </c>
      <c r="AA22" s="14">
        <v>11</v>
      </c>
    </row>
    <row r="23" spans="1:27" ht="24.95" customHeight="1" x14ac:dyDescent="0.2">
      <c r="A23" s="6">
        <v>20</v>
      </c>
      <c r="B23" s="9" t="s">
        <v>104</v>
      </c>
      <c r="C23" s="9"/>
      <c r="D23" s="14" t="s">
        <v>113</v>
      </c>
      <c r="E23" s="14" t="s">
        <v>115</v>
      </c>
      <c r="F23" s="14">
        <v>159</v>
      </c>
      <c r="G23" s="14">
        <v>17672257</v>
      </c>
      <c r="H23" s="16" t="s">
        <v>199</v>
      </c>
      <c r="I23" s="14" t="s">
        <v>200</v>
      </c>
      <c r="J23" s="14">
        <v>39667751</v>
      </c>
      <c r="K23" s="14"/>
      <c r="L23" s="14" t="s">
        <v>201</v>
      </c>
      <c r="M23" s="14">
        <v>39551138</v>
      </c>
      <c r="N23" s="14" t="s">
        <v>201</v>
      </c>
      <c r="O23" s="14" t="s">
        <v>202</v>
      </c>
      <c r="P23" s="14" t="s">
        <v>201</v>
      </c>
      <c r="Q23" s="14">
        <v>39551138</v>
      </c>
      <c r="R23" s="14">
        <v>2505</v>
      </c>
      <c r="S23" s="14">
        <v>4450</v>
      </c>
      <c r="T23" s="14">
        <v>244</v>
      </c>
      <c r="U23" s="14" t="s">
        <v>203</v>
      </c>
      <c r="V23" s="14" t="s">
        <v>484</v>
      </c>
      <c r="W23" s="14">
        <v>2023</v>
      </c>
      <c r="X23" s="17" t="s">
        <v>907</v>
      </c>
      <c r="Y23" s="15"/>
      <c r="Z23" s="14" t="s">
        <v>515</v>
      </c>
      <c r="AA23" s="14">
        <v>8</v>
      </c>
    </row>
    <row r="24" spans="1:27" ht="24.95" customHeight="1" x14ac:dyDescent="0.2">
      <c r="A24" s="6">
        <v>21</v>
      </c>
      <c r="B24" s="9" t="s">
        <v>39</v>
      </c>
      <c r="C24" s="9"/>
      <c r="D24" s="14" t="s">
        <v>113</v>
      </c>
      <c r="E24" s="14" t="s">
        <v>115</v>
      </c>
      <c r="F24" s="14">
        <v>51</v>
      </c>
      <c r="G24" s="14">
        <v>17465539</v>
      </c>
      <c r="H24" s="16" t="s">
        <v>204</v>
      </c>
      <c r="I24" s="14" t="s">
        <v>205</v>
      </c>
      <c r="J24" s="14" t="s">
        <v>206</v>
      </c>
      <c r="K24" s="14"/>
      <c r="L24" s="14" t="s">
        <v>205</v>
      </c>
      <c r="M24" s="14">
        <v>36584997</v>
      </c>
      <c r="N24" s="14" t="s">
        <v>205</v>
      </c>
      <c r="O24" s="14">
        <v>36584997</v>
      </c>
      <c r="P24" s="14" t="s">
        <v>205</v>
      </c>
      <c r="Q24" s="14">
        <v>36584997</v>
      </c>
      <c r="R24" s="14">
        <v>1169</v>
      </c>
      <c r="S24" s="14">
        <v>3135</v>
      </c>
      <c r="T24" s="14">
        <v>231</v>
      </c>
      <c r="U24" s="14" t="s">
        <v>207</v>
      </c>
      <c r="V24" s="14" t="s">
        <v>484</v>
      </c>
      <c r="W24" s="14">
        <v>2002</v>
      </c>
      <c r="X24" s="17" t="s">
        <v>908</v>
      </c>
      <c r="Y24" s="14"/>
      <c r="Z24" s="14" t="s">
        <v>516</v>
      </c>
      <c r="AA24" s="14">
        <v>7</v>
      </c>
    </row>
    <row r="25" spans="1:27" ht="24.95" customHeight="1" x14ac:dyDescent="0.2">
      <c r="A25" s="6">
        <v>22</v>
      </c>
      <c r="B25" s="9" t="s">
        <v>50</v>
      </c>
      <c r="C25" s="9"/>
      <c r="D25" s="14" t="s">
        <v>113</v>
      </c>
      <c r="E25" s="14" t="s">
        <v>115</v>
      </c>
      <c r="F25" s="14">
        <v>123</v>
      </c>
      <c r="G25" s="14">
        <v>17324141</v>
      </c>
      <c r="H25" s="16" t="s">
        <v>209</v>
      </c>
      <c r="I25" s="14" t="s">
        <v>210</v>
      </c>
      <c r="J25" s="14">
        <v>39404155</v>
      </c>
      <c r="K25" s="14"/>
      <c r="L25" s="14" t="s">
        <v>210</v>
      </c>
      <c r="M25" s="14">
        <v>39404155</v>
      </c>
      <c r="N25" s="14" t="s">
        <v>520</v>
      </c>
      <c r="O25" s="14">
        <v>36006534</v>
      </c>
      <c r="P25" s="14" t="s">
        <v>520</v>
      </c>
      <c r="Q25" s="14">
        <v>36006534</v>
      </c>
      <c r="R25" s="14">
        <v>5</v>
      </c>
      <c r="S25" s="14">
        <v>25</v>
      </c>
      <c r="T25" s="14">
        <v>233</v>
      </c>
      <c r="U25" s="14" t="s">
        <v>207</v>
      </c>
      <c r="V25" s="14" t="s">
        <v>484</v>
      </c>
      <c r="W25" s="14">
        <v>2009</v>
      </c>
      <c r="X25" s="17" t="s">
        <v>208</v>
      </c>
      <c r="Y25" s="14"/>
      <c r="Z25" s="14" t="s">
        <v>519</v>
      </c>
      <c r="AA25" s="14">
        <v>8</v>
      </c>
    </row>
    <row r="26" spans="1:27" ht="24.95" customHeight="1" x14ac:dyDescent="0.2">
      <c r="A26" s="6">
        <v>23</v>
      </c>
      <c r="B26" s="9" t="s">
        <v>30</v>
      </c>
      <c r="C26" s="9"/>
      <c r="D26" s="14" t="s">
        <v>113</v>
      </c>
      <c r="E26" s="14" t="s">
        <v>115</v>
      </c>
      <c r="F26" s="14">
        <v>190</v>
      </c>
      <c r="G26" s="14">
        <v>17413350</v>
      </c>
      <c r="H26" s="18" t="s">
        <v>858</v>
      </c>
      <c r="I26" s="14" t="s">
        <v>522</v>
      </c>
      <c r="J26" s="14" t="s">
        <v>1169</v>
      </c>
      <c r="K26" s="14"/>
      <c r="L26" s="14" t="s">
        <v>523</v>
      </c>
      <c r="M26" s="14">
        <v>33338213</v>
      </c>
      <c r="N26" s="14" t="s">
        <v>523</v>
      </c>
      <c r="O26" s="14">
        <v>33338213</v>
      </c>
      <c r="P26" s="14" t="s">
        <v>521</v>
      </c>
      <c r="Q26" s="14">
        <v>33310032</v>
      </c>
      <c r="R26" s="14">
        <v>2136</v>
      </c>
      <c r="S26" s="14">
        <v>433</v>
      </c>
      <c r="T26" s="14">
        <v>1204</v>
      </c>
      <c r="U26" s="14" t="s">
        <v>474</v>
      </c>
      <c r="V26" s="14" t="s">
        <v>486</v>
      </c>
      <c r="W26" s="14">
        <v>2001</v>
      </c>
      <c r="X26" s="17" t="s">
        <v>909</v>
      </c>
      <c r="Y26" s="17"/>
      <c r="Z26" s="17" t="s">
        <v>855</v>
      </c>
      <c r="AA26" s="14">
        <v>9</v>
      </c>
    </row>
    <row r="27" spans="1:27" ht="36.75" customHeight="1" x14ac:dyDescent="0.15">
      <c r="A27" s="6">
        <v>24</v>
      </c>
      <c r="B27" s="9" t="s">
        <v>524</v>
      </c>
      <c r="C27" s="9"/>
      <c r="D27" s="14" t="s">
        <v>112</v>
      </c>
      <c r="E27" s="14" t="s">
        <v>115</v>
      </c>
      <c r="F27" s="14">
        <v>55</v>
      </c>
      <c r="G27" s="14">
        <v>17699844</v>
      </c>
      <c r="H27" s="16" t="s">
        <v>526</v>
      </c>
      <c r="I27" s="19" t="s">
        <v>1162</v>
      </c>
      <c r="J27" s="14">
        <v>37196009</v>
      </c>
      <c r="K27" s="14"/>
      <c r="L27" s="14" t="s">
        <v>1158</v>
      </c>
      <c r="M27" s="14">
        <v>37220652</v>
      </c>
      <c r="N27" s="14" t="s">
        <v>1158</v>
      </c>
      <c r="O27" s="14">
        <v>37220652</v>
      </c>
      <c r="P27" s="14"/>
      <c r="Q27" s="14"/>
      <c r="R27" s="14">
        <v>208</v>
      </c>
      <c r="S27" s="14">
        <v>55</v>
      </c>
      <c r="T27" s="14">
        <v>557</v>
      </c>
      <c r="U27" s="14" t="s">
        <v>527</v>
      </c>
      <c r="V27" s="14" t="s">
        <v>486</v>
      </c>
      <c r="W27" s="14">
        <v>1997</v>
      </c>
      <c r="X27" s="20" t="s">
        <v>910</v>
      </c>
      <c r="Y27" s="15"/>
      <c r="Z27" s="14" t="s">
        <v>525</v>
      </c>
      <c r="AA27" s="14">
        <v>3</v>
      </c>
    </row>
    <row r="28" spans="1:27" ht="32.25" customHeight="1" x14ac:dyDescent="0.2">
      <c r="A28" s="6">
        <v>25</v>
      </c>
      <c r="B28" s="9" t="s">
        <v>83</v>
      </c>
      <c r="C28" s="9"/>
      <c r="D28" s="14" t="s">
        <v>113</v>
      </c>
      <c r="E28" s="14" t="s">
        <v>115</v>
      </c>
      <c r="F28" s="14">
        <v>135</v>
      </c>
      <c r="G28" s="14">
        <v>36633318</v>
      </c>
      <c r="H28" s="42" t="s">
        <v>1035</v>
      </c>
      <c r="I28" s="14" t="s">
        <v>802</v>
      </c>
      <c r="J28" s="14">
        <v>36633318</v>
      </c>
      <c r="K28" s="14"/>
      <c r="L28" s="14" t="s">
        <v>802</v>
      </c>
      <c r="M28" s="14">
        <v>36633318</v>
      </c>
      <c r="N28" s="14" t="s">
        <v>716</v>
      </c>
      <c r="O28" s="14">
        <v>36633318</v>
      </c>
      <c r="P28" s="14" t="s">
        <v>716</v>
      </c>
      <c r="Q28" s="14">
        <v>36633318</v>
      </c>
      <c r="R28" s="14">
        <v>1560</v>
      </c>
      <c r="S28" s="14">
        <v>5040</v>
      </c>
      <c r="T28" s="14">
        <v>950</v>
      </c>
      <c r="U28" s="14" t="s">
        <v>775</v>
      </c>
      <c r="V28" s="14" t="s">
        <v>487</v>
      </c>
      <c r="W28" s="14">
        <v>2019</v>
      </c>
      <c r="X28" s="17" t="s">
        <v>911</v>
      </c>
      <c r="Y28" s="14"/>
      <c r="Z28" s="14" t="s">
        <v>815</v>
      </c>
      <c r="AA28" s="14"/>
    </row>
    <row r="29" spans="1:27" ht="24.75" customHeight="1" x14ac:dyDescent="0.2">
      <c r="A29" s="6">
        <v>26</v>
      </c>
      <c r="B29" s="9" t="s">
        <v>17</v>
      </c>
      <c r="C29" s="9"/>
      <c r="D29" s="14" t="s">
        <v>113</v>
      </c>
      <c r="E29" s="14" t="s">
        <v>115</v>
      </c>
      <c r="F29" s="14">
        <v>145</v>
      </c>
      <c r="G29" s="14">
        <v>17412111</v>
      </c>
      <c r="H29" s="16" t="s">
        <v>211</v>
      </c>
      <c r="I29" s="14" t="s">
        <v>528</v>
      </c>
      <c r="J29" s="14">
        <v>39449321</v>
      </c>
      <c r="K29" s="14"/>
      <c r="L29" s="14" t="s">
        <v>212</v>
      </c>
      <c r="M29" s="14">
        <v>39287546</v>
      </c>
      <c r="N29" s="14" t="s">
        <v>212</v>
      </c>
      <c r="O29" s="14">
        <v>39287546</v>
      </c>
      <c r="P29" s="14" t="s">
        <v>213</v>
      </c>
      <c r="Q29" s="14">
        <v>39437939</v>
      </c>
      <c r="R29" s="14">
        <v>2270</v>
      </c>
      <c r="S29" s="14">
        <v>331</v>
      </c>
      <c r="T29" s="14">
        <v>1203</v>
      </c>
      <c r="U29" s="14" t="s">
        <v>214</v>
      </c>
      <c r="V29" s="14" t="s">
        <v>486</v>
      </c>
      <c r="W29" s="14">
        <v>1995</v>
      </c>
      <c r="X29" s="17" t="s">
        <v>912</v>
      </c>
      <c r="Y29" s="15"/>
      <c r="Z29" s="14" t="s">
        <v>816</v>
      </c>
      <c r="AA29" s="14">
        <v>9</v>
      </c>
    </row>
    <row r="30" spans="1:27" ht="24.75" customHeight="1" x14ac:dyDescent="0.2">
      <c r="A30" s="6">
        <v>27</v>
      </c>
      <c r="B30" s="9" t="s">
        <v>75</v>
      </c>
      <c r="C30" s="9"/>
      <c r="D30" s="14" t="s">
        <v>113</v>
      </c>
      <c r="E30" s="14" t="s">
        <v>115</v>
      </c>
      <c r="F30" s="14">
        <v>242</v>
      </c>
      <c r="G30" s="14" t="s">
        <v>425</v>
      </c>
      <c r="H30" s="18" t="s">
        <v>426</v>
      </c>
      <c r="I30" s="14" t="s">
        <v>427</v>
      </c>
      <c r="J30" s="14">
        <v>39630338</v>
      </c>
      <c r="K30" s="14"/>
      <c r="L30" s="14" t="s">
        <v>428</v>
      </c>
      <c r="M30" s="14">
        <v>33411345</v>
      </c>
      <c r="N30" s="14" t="s">
        <v>429</v>
      </c>
      <c r="O30" s="14">
        <v>37702466</v>
      </c>
      <c r="P30" s="14" t="s">
        <v>429</v>
      </c>
      <c r="Q30" s="14">
        <v>37702466</v>
      </c>
      <c r="R30" s="14" t="s">
        <v>430</v>
      </c>
      <c r="S30" s="14">
        <v>5053</v>
      </c>
      <c r="T30" s="14">
        <v>450</v>
      </c>
      <c r="U30" s="14" t="s">
        <v>431</v>
      </c>
      <c r="V30" s="14" t="s">
        <v>486</v>
      </c>
      <c r="W30" s="14">
        <v>2009</v>
      </c>
      <c r="X30" s="17" t="s">
        <v>913</v>
      </c>
      <c r="Y30" s="14"/>
      <c r="Z30" s="14" t="s">
        <v>529</v>
      </c>
      <c r="AA30" s="14">
        <v>15</v>
      </c>
    </row>
    <row r="31" spans="1:27" ht="24.95" customHeight="1" x14ac:dyDescent="0.2">
      <c r="A31" s="6">
        <v>28</v>
      </c>
      <c r="B31" s="9" t="s">
        <v>87</v>
      </c>
      <c r="C31" s="9"/>
      <c r="D31" s="14" t="s">
        <v>113</v>
      </c>
      <c r="E31" s="14" t="s">
        <v>115</v>
      </c>
      <c r="F31" s="14">
        <v>136</v>
      </c>
      <c r="G31" s="14">
        <v>17786080</v>
      </c>
      <c r="H31" s="14" t="s">
        <v>215</v>
      </c>
      <c r="I31" s="14" t="s">
        <v>216</v>
      </c>
      <c r="J31" s="14">
        <v>33925472</v>
      </c>
      <c r="K31" s="14"/>
      <c r="L31" s="14" t="s">
        <v>1110</v>
      </c>
      <c r="M31" s="14">
        <v>35136706</v>
      </c>
      <c r="N31" s="14" t="s">
        <v>1110</v>
      </c>
      <c r="O31" s="14">
        <v>35136706</v>
      </c>
      <c r="P31" s="14"/>
      <c r="Q31" s="14"/>
      <c r="R31" s="14">
        <v>598</v>
      </c>
      <c r="S31" s="14">
        <v>8115</v>
      </c>
      <c r="T31" s="14">
        <v>381</v>
      </c>
      <c r="U31" s="14" t="s">
        <v>531</v>
      </c>
      <c r="V31" s="14" t="s">
        <v>485</v>
      </c>
      <c r="W31" s="14">
        <v>2020</v>
      </c>
      <c r="X31" s="17" t="s">
        <v>914</v>
      </c>
      <c r="Y31" s="14"/>
      <c r="Z31" s="14" t="s">
        <v>530</v>
      </c>
      <c r="AA31" s="14">
        <v>8</v>
      </c>
    </row>
    <row r="32" spans="1:27" ht="24.95" customHeight="1" x14ac:dyDescent="0.2">
      <c r="A32" s="6">
        <v>29</v>
      </c>
      <c r="B32" s="9" t="s">
        <v>74</v>
      </c>
      <c r="C32" s="9"/>
      <c r="D32" s="14" t="s">
        <v>113</v>
      </c>
      <c r="E32" s="14" t="s">
        <v>115</v>
      </c>
      <c r="F32" s="14">
        <v>106</v>
      </c>
      <c r="G32" s="14">
        <v>17704081</v>
      </c>
      <c r="H32" s="14" t="s">
        <v>432</v>
      </c>
      <c r="I32" s="14" t="s">
        <v>433</v>
      </c>
      <c r="J32" s="14">
        <v>39300478</v>
      </c>
      <c r="K32" s="14"/>
      <c r="L32" s="14" t="s">
        <v>1049</v>
      </c>
      <c r="M32" s="14">
        <v>39300478</v>
      </c>
      <c r="N32" s="14" t="s">
        <v>433</v>
      </c>
      <c r="O32" s="14">
        <v>39300478</v>
      </c>
      <c r="P32" s="14" t="s">
        <v>434</v>
      </c>
      <c r="Q32" s="14">
        <v>34352095</v>
      </c>
      <c r="R32" s="14">
        <v>91</v>
      </c>
      <c r="S32" s="14">
        <v>24</v>
      </c>
      <c r="T32" s="14">
        <v>624</v>
      </c>
      <c r="U32" s="14" t="s">
        <v>435</v>
      </c>
      <c r="V32" s="14" t="s">
        <v>485</v>
      </c>
      <c r="W32" s="14">
        <v>2009</v>
      </c>
      <c r="X32" s="17" t="s">
        <v>915</v>
      </c>
      <c r="Y32" s="14"/>
      <c r="Z32" s="14" t="s">
        <v>532</v>
      </c>
      <c r="AA32" s="14">
        <v>6</v>
      </c>
    </row>
    <row r="33" spans="1:27" ht="24.95" customHeight="1" x14ac:dyDescent="0.2">
      <c r="A33" s="6">
        <v>30</v>
      </c>
      <c r="B33" s="9" t="s">
        <v>53</v>
      </c>
      <c r="C33" s="9"/>
      <c r="D33" s="14" t="s">
        <v>113</v>
      </c>
      <c r="E33" s="14" t="s">
        <v>115</v>
      </c>
      <c r="F33" s="14">
        <v>184</v>
      </c>
      <c r="G33" s="14">
        <v>17404774</v>
      </c>
      <c r="H33" s="14" t="s">
        <v>436</v>
      </c>
      <c r="I33" s="14" t="s">
        <v>437</v>
      </c>
      <c r="J33" s="14">
        <v>33159994</v>
      </c>
      <c r="K33" s="14"/>
      <c r="L33" s="14" t="s">
        <v>437</v>
      </c>
      <c r="M33" s="14">
        <v>33159994</v>
      </c>
      <c r="N33" s="14" t="s">
        <v>437</v>
      </c>
      <c r="O33" s="14">
        <v>33159994</v>
      </c>
      <c r="P33" s="14" t="s">
        <v>438</v>
      </c>
      <c r="Q33" s="14">
        <v>37777861</v>
      </c>
      <c r="R33" s="14">
        <v>514</v>
      </c>
      <c r="S33" s="14">
        <v>4119</v>
      </c>
      <c r="T33" s="14">
        <v>441</v>
      </c>
      <c r="U33" s="14" t="s">
        <v>439</v>
      </c>
      <c r="V33" s="14" t="s">
        <v>486</v>
      </c>
      <c r="W33" s="14">
        <v>2006</v>
      </c>
      <c r="X33" s="17" t="s">
        <v>916</v>
      </c>
      <c r="Y33" s="15"/>
      <c r="Z33" s="14" t="s">
        <v>533</v>
      </c>
      <c r="AA33" s="14">
        <v>11</v>
      </c>
    </row>
    <row r="34" spans="1:27" ht="24.95" customHeight="1" x14ac:dyDescent="0.2">
      <c r="A34" s="6">
        <v>31</v>
      </c>
      <c r="B34" s="9" t="s">
        <v>95</v>
      </c>
      <c r="C34" s="9"/>
      <c r="D34" s="14" t="s">
        <v>113</v>
      </c>
      <c r="E34" s="14" t="s">
        <v>115</v>
      </c>
      <c r="F34" s="14">
        <v>71</v>
      </c>
      <c r="G34" s="14">
        <v>17781600</v>
      </c>
      <c r="H34" s="16" t="s">
        <v>535</v>
      </c>
      <c r="I34" s="14" t="s">
        <v>534</v>
      </c>
      <c r="J34" s="14">
        <v>39683355</v>
      </c>
      <c r="K34" s="14"/>
      <c r="L34" s="14" t="s">
        <v>534</v>
      </c>
      <c r="M34" s="14">
        <v>39683355</v>
      </c>
      <c r="N34" s="14" t="s">
        <v>534</v>
      </c>
      <c r="O34" s="14" t="s">
        <v>536</v>
      </c>
      <c r="P34" s="14" t="s">
        <v>534</v>
      </c>
      <c r="Q34" s="14">
        <v>39683355</v>
      </c>
      <c r="R34" s="14">
        <v>528</v>
      </c>
      <c r="S34" s="14">
        <v>5</v>
      </c>
      <c r="T34" s="14">
        <v>808</v>
      </c>
      <c r="U34" s="14" t="s">
        <v>0</v>
      </c>
      <c r="V34" s="14" t="s">
        <v>487</v>
      </c>
      <c r="W34" s="14">
        <v>2001</v>
      </c>
      <c r="X34" s="17" t="s">
        <v>917</v>
      </c>
      <c r="Y34" s="15"/>
      <c r="Z34" s="14" t="s">
        <v>537</v>
      </c>
      <c r="AA34" s="14">
        <v>5</v>
      </c>
    </row>
    <row r="35" spans="1:27" ht="24.95" customHeight="1" x14ac:dyDescent="0.2">
      <c r="A35" s="6">
        <v>32</v>
      </c>
      <c r="B35" s="9" t="s">
        <v>63</v>
      </c>
      <c r="C35" s="9"/>
      <c r="D35" s="14" t="s">
        <v>113</v>
      </c>
      <c r="E35" s="14" t="s">
        <v>115</v>
      </c>
      <c r="F35" s="14">
        <v>571</v>
      </c>
      <c r="G35" s="14">
        <v>17596180</v>
      </c>
      <c r="H35" s="18" t="s">
        <v>1109</v>
      </c>
      <c r="I35" s="14" t="s">
        <v>545</v>
      </c>
      <c r="J35" s="14">
        <v>33002553</v>
      </c>
      <c r="K35" s="14"/>
      <c r="L35" s="14" t="s">
        <v>545</v>
      </c>
      <c r="M35" s="14">
        <v>33255211</v>
      </c>
      <c r="N35" s="14" t="s">
        <v>543</v>
      </c>
      <c r="O35" s="14">
        <v>33855665</v>
      </c>
      <c r="P35" s="14" t="s">
        <v>543</v>
      </c>
      <c r="Q35" s="14">
        <v>33855665</v>
      </c>
      <c r="R35" s="14">
        <v>1889</v>
      </c>
      <c r="S35" s="14">
        <v>1445</v>
      </c>
      <c r="T35" s="14">
        <v>514</v>
      </c>
      <c r="U35" s="14" t="s">
        <v>546</v>
      </c>
      <c r="V35" s="14" t="s">
        <v>486</v>
      </c>
      <c r="W35" s="14">
        <v>2008</v>
      </c>
      <c r="X35" s="17" t="s">
        <v>919</v>
      </c>
      <c r="Y35" s="14"/>
      <c r="Z35" s="14" t="s">
        <v>544</v>
      </c>
      <c r="AA35" s="14">
        <v>30</v>
      </c>
    </row>
    <row r="36" spans="1:27" ht="24.95" customHeight="1" x14ac:dyDescent="0.2">
      <c r="A36" s="6">
        <v>33</v>
      </c>
      <c r="B36" s="9" t="s">
        <v>45</v>
      </c>
      <c r="C36" s="9"/>
      <c r="D36" s="14" t="s">
        <v>113</v>
      </c>
      <c r="E36" s="14" t="s">
        <v>115</v>
      </c>
      <c r="F36" s="14">
        <v>116</v>
      </c>
      <c r="G36" s="14">
        <v>13626868</v>
      </c>
      <c r="H36" s="16" t="s">
        <v>444</v>
      </c>
      <c r="I36" s="14" t="s">
        <v>445</v>
      </c>
      <c r="J36" s="14">
        <v>66658000</v>
      </c>
      <c r="K36" s="14"/>
      <c r="L36" s="14" t="s">
        <v>445</v>
      </c>
      <c r="M36" s="14">
        <v>66658000</v>
      </c>
      <c r="N36" s="14" t="s">
        <v>445</v>
      </c>
      <c r="O36" s="14">
        <v>66658000</v>
      </c>
      <c r="P36" s="14" t="s">
        <v>445</v>
      </c>
      <c r="Q36" s="14">
        <v>66658000</v>
      </c>
      <c r="R36" s="14">
        <v>517</v>
      </c>
      <c r="S36" s="14">
        <v>5710</v>
      </c>
      <c r="T36" s="14">
        <v>577</v>
      </c>
      <c r="U36" s="14" t="s">
        <v>389</v>
      </c>
      <c r="V36" s="14" t="s">
        <v>486</v>
      </c>
      <c r="W36" s="14">
        <v>2015</v>
      </c>
      <c r="X36" s="17" t="s">
        <v>921</v>
      </c>
      <c r="Y36" s="15"/>
      <c r="Z36" s="14" t="s">
        <v>548</v>
      </c>
      <c r="AA36" s="14"/>
    </row>
    <row r="37" spans="1:27" ht="24.95" customHeight="1" x14ac:dyDescent="0.2">
      <c r="A37" s="6">
        <v>34</v>
      </c>
      <c r="B37" s="9" t="s">
        <v>12</v>
      </c>
      <c r="C37" s="9"/>
      <c r="D37" s="14" t="s">
        <v>113</v>
      </c>
      <c r="E37" s="14" t="s">
        <v>115</v>
      </c>
      <c r="F37" s="14">
        <v>84</v>
      </c>
      <c r="G37" s="14">
        <v>17770180</v>
      </c>
      <c r="H37" s="16" t="s">
        <v>221</v>
      </c>
      <c r="I37" s="14" t="s">
        <v>222</v>
      </c>
      <c r="J37" s="14">
        <v>39547966</v>
      </c>
      <c r="K37" s="14"/>
      <c r="L37" s="14" t="s">
        <v>222</v>
      </c>
      <c r="M37" s="14">
        <v>39547966</v>
      </c>
      <c r="N37" s="14" t="s">
        <v>223</v>
      </c>
      <c r="O37" s="14">
        <v>17770180</v>
      </c>
      <c r="P37" s="14" t="s">
        <v>223</v>
      </c>
      <c r="Q37" s="14">
        <v>17770180</v>
      </c>
      <c r="R37" s="14">
        <v>1777</v>
      </c>
      <c r="S37" s="14">
        <v>2561</v>
      </c>
      <c r="T37" s="14">
        <v>925</v>
      </c>
      <c r="U37" s="14" t="s">
        <v>224</v>
      </c>
      <c r="V37" s="14" t="s">
        <v>487</v>
      </c>
      <c r="W37" s="14">
        <v>1993</v>
      </c>
      <c r="X37" s="17" t="s">
        <v>922</v>
      </c>
      <c r="Y37" s="15"/>
      <c r="Z37" s="14" t="s">
        <v>549</v>
      </c>
      <c r="AA37" s="14">
        <v>6</v>
      </c>
    </row>
    <row r="38" spans="1:27" ht="24.95" customHeight="1" x14ac:dyDescent="0.2">
      <c r="A38" s="6">
        <v>35</v>
      </c>
      <c r="B38" s="9" t="s">
        <v>38</v>
      </c>
      <c r="C38" s="9"/>
      <c r="D38" s="14" t="s">
        <v>113</v>
      </c>
      <c r="E38" s="14" t="s">
        <v>115</v>
      </c>
      <c r="F38" s="14">
        <v>107</v>
      </c>
      <c r="G38" s="14">
        <v>17595676</v>
      </c>
      <c r="H38" s="16" t="s">
        <v>551</v>
      </c>
      <c r="I38" s="14" t="s">
        <v>552</v>
      </c>
      <c r="J38" s="14">
        <v>39234818</v>
      </c>
      <c r="K38" s="14"/>
      <c r="L38" s="14" t="s">
        <v>552</v>
      </c>
      <c r="M38" s="14">
        <v>39234818</v>
      </c>
      <c r="N38" s="14" t="s">
        <v>553</v>
      </c>
      <c r="O38" s="14">
        <v>34424454</v>
      </c>
      <c r="P38" s="14" t="s">
        <v>553</v>
      </c>
      <c r="Q38" s="14">
        <v>34424454</v>
      </c>
      <c r="R38" s="14">
        <v>747</v>
      </c>
      <c r="S38" s="14">
        <v>3515</v>
      </c>
      <c r="T38" s="14">
        <v>435</v>
      </c>
      <c r="U38" s="14" t="s">
        <v>554</v>
      </c>
      <c r="V38" s="14" t="s">
        <v>486</v>
      </c>
      <c r="W38" s="14">
        <v>2002</v>
      </c>
      <c r="X38" s="17" t="s">
        <v>923</v>
      </c>
      <c r="Y38" s="15"/>
      <c r="Z38" s="14" t="s">
        <v>550</v>
      </c>
      <c r="AA38" s="14">
        <v>8</v>
      </c>
    </row>
    <row r="39" spans="1:27" ht="36.75" customHeight="1" x14ac:dyDescent="0.15">
      <c r="A39" s="6">
        <v>36</v>
      </c>
      <c r="B39" s="9" t="s">
        <v>58</v>
      </c>
      <c r="C39" s="9"/>
      <c r="D39" s="14" t="s">
        <v>113</v>
      </c>
      <c r="E39" s="14" t="s">
        <v>115</v>
      </c>
      <c r="F39" s="14">
        <v>91</v>
      </c>
      <c r="G39" s="14">
        <v>35078616</v>
      </c>
      <c r="H39" s="25" t="s">
        <v>1034</v>
      </c>
      <c r="I39" s="14" t="s">
        <v>693</v>
      </c>
      <c r="J39" s="14">
        <v>33001288</v>
      </c>
      <c r="K39" s="14"/>
      <c r="L39" s="14" t="s">
        <v>692</v>
      </c>
      <c r="M39" s="14">
        <v>33320845</v>
      </c>
      <c r="N39" s="14" t="s">
        <v>692</v>
      </c>
      <c r="O39" s="14">
        <v>33320845</v>
      </c>
      <c r="P39" s="14" t="s">
        <v>692</v>
      </c>
      <c r="Q39" s="14">
        <v>33320845</v>
      </c>
      <c r="R39" s="14">
        <v>677</v>
      </c>
      <c r="S39" s="14">
        <v>1013</v>
      </c>
      <c r="T39" s="14">
        <v>1210</v>
      </c>
      <c r="U39" s="14" t="s">
        <v>474</v>
      </c>
      <c r="V39" s="14" t="s">
        <v>486</v>
      </c>
      <c r="W39" s="14">
        <v>2009</v>
      </c>
      <c r="X39" s="17" t="s">
        <v>924</v>
      </c>
      <c r="Y39" s="14"/>
      <c r="Z39" s="14" t="s">
        <v>819</v>
      </c>
      <c r="AA39" s="14">
        <v>6</v>
      </c>
    </row>
    <row r="40" spans="1:27" ht="24.95" customHeight="1" x14ac:dyDescent="0.2">
      <c r="A40" s="6">
        <v>37</v>
      </c>
      <c r="B40" s="9" t="s">
        <v>69</v>
      </c>
      <c r="C40" s="9"/>
      <c r="D40" s="14" t="s">
        <v>113</v>
      </c>
      <c r="E40" s="14" t="s">
        <v>115</v>
      </c>
      <c r="F40" s="14">
        <v>104</v>
      </c>
      <c r="G40" s="14">
        <v>17600350</v>
      </c>
      <c r="H40" s="18" t="s">
        <v>1045</v>
      </c>
      <c r="I40" s="14" t="s">
        <v>446</v>
      </c>
      <c r="J40" s="14">
        <v>33210977</v>
      </c>
      <c r="K40" s="14"/>
      <c r="L40" s="14" t="s">
        <v>1050</v>
      </c>
      <c r="M40" s="14">
        <v>34340158</v>
      </c>
      <c r="N40" s="14" t="s">
        <v>446</v>
      </c>
      <c r="O40" s="14">
        <v>33210977</v>
      </c>
      <c r="P40" s="14" t="s">
        <v>447</v>
      </c>
      <c r="Q40" s="14">
        <v>36919144</v>
      </c>
      <c r="R40" s="14">
        <v>2447</v>
      </c>
      <c r="S40" s="14">
        <v>3366</v>
      </c>
      <c r="T40" s="14">
        <v>633</v>
      </c>
      <c r="U40" s="14" t="s">
        <v>448</v>
      </c>
      <c r="V40" s="14" t="s">
        <v>487</v>
      </c>
      <c r="W40" s="14">
        <v>2009</v>
      </c>
      <c r="X40" s="17" t="s">
        <v>925</v>
      </c>
      <c r="Y40" s="14"/>
      <c r="Z40" s="14" t="s">
        <v>555</v>
      </c>
      <c r="AA40" s="14">
        <v>7</v>
      </c>
    </row>
    <row r="41" spans="1:27" ht="24.95" customHeight="1" x14ac:dyDescent="0.2">
      <c r="A41" s="6">
        <v>38</v>
      </c>
      <c r="B41" s="9" t="s">
        <v>14</v>
      </c>
      <c r="C41" s="9"/>
      <c r="D41" s="14" t="s">
        <v>113</v>
      </c>
      <c r="E41" s="14" t="s">
        <v>115</v>
      </c>
      <c r="F41" s="14">
        <v>228</v>
      </c>
      <c r="G41" s="14">
        <v>17640429</v>
      </c>
      <c r="H41" s="16" t="s">
        <v>558</v>
      </c>
      <c r="I41" s="14" t="s">
        <v>559</v>
      </c>
      <c r="J41" s="14">
        <v>33306061</v>
      </c>
      <c r="K41" s="14"/>
      <c r="L41" s="14" t="s">
        <v>559</v>
      </c>
      <c r="M41" s="14">
        <v>33306061</v>
      </c>
      <c r="N41" s="14" t="s">
        <v>556</v>
      </c>
      <c r="O41" s="14">
        <v>33340097</v>
      </c>
      <c r="P41" s="14" t="s">
        <v>556</v>
      </c>
      <c r="Q41" s="14">
        <v>33340097</v>
      </c>
      <c r="R41" s="14">
        <v>282</v>
      </c>
      <c r="S41" s="14">
        <v>5607</v>
      </c>
      <c r="T41" s="14">
        <v>756</v>
      </c>
      <c r="U41" s="14" t="s">
        <v>560</v>
      </c>
      <c r="V41" s="14" t="s">
        <v>486</v>
      </c>
      <c r="W41" s="14">
        <v>1994</v>
      </c>
      <c r="X41" s="17" t="s">
        <v>926</v>
      </c>
      <c r="Y41" s="15"/>
      <c r="Z41" s="14" t="s">
        <v>557</v>
      </c>
      <c r="AA41" s="14">
        <v>12</v>
      </c>
    </row>
    <row r="42" spans="1:27" ht="24.95" customHeight="1" x14ac:dyDescent="0.2">
      <c r="A42" s="6">
        <v>39</v>
      </c>
      <c r="B42" s="9" t="s">
        <v>96</v>
      </c>
      <c r="C42" s="9"/>
      <c r="D42" s="14" t="s">
        <v>113</v>
      </c>
      <c r="E42" s="14" t="s">
        <v>115</v>
      </c>
      <c r="F42" s="14">
        <v>44</v>
      </c>
      <c r="G42" s="14">
        <v>17441465</v>
      </c>
      <c r="H42" s="18" t="s">
        <v>1108</v>
      </c>
      <c r="I42" s="14" t="s">
        <v>301</v>
      </c>
      <c r="J42" s="14">
        <v>17689909</v>
      </c>
      <c r="K42" s="14"/>
      <c r="L42" s="14" t="s">
        <v>449</v>
      </c>
      <c r="M42" s="14">
        <v>39070688</v>
      </c>
      <c r="N42" s="14" t="s">
        <v>450</v>
      </c>
      <c r="O42" s="14">
        <v>39070688</v>
      </c>
      <c r="P42" s="14" t="s">
        <v>449</v>
      </c>
      <c r="Q42" s="14">
        <v>39070688</v>
      </c>
      <c r="R42" s="14">
        <v>2488</v>
      </c>
      <c r="S42" s="14">
        <v>1439</v>
      </c>
      <c r="T42" s="14">
        <v>1214</v>
      </c>
      <c r="U42" s="14" t="s">
        <v>214</v>
      </c>
      <c r="V42" s="14" t="s">
        <v>486</v>
      </c>
      <c r="W42" s="14">
        <v>1988</v>
      </c>
      <c r="X42" s="17" t="s">
        <v>927</v>
      </c>
      <c r="Y42" s="15"/>
      <c r="Z42" s="17" t="s">
        <v>855</v>
      </c>
      <c r="AA42" s="14">
        <v>5</v>
      </c>
    </row>
    <row r="43" spans="1:27" ht="24.95" customHeight="1" x14ac:dyDescent="0.2">
      <c r="A43" s="6">
        <v>40</v>
      </c>
      <c r="B43" s="9" t="s">
        <v>80</v>
      </c>
      <c r="C43" s="9"/>
      <c r="D43" s="14" t="s">
        <v>113</v>
      </c>
      <c r="E43" s="14" t="s">
        <v>115</v>
      </c>
      <c r="F43" s="14">
        <v>85</v>
      </c>
      <c r="G43" s="14">
        <v>17840014</v>
      </c>
      <c r="H43" s="16" t="s">
        <v>562</v>
      </c>
      <c r="I43" s="14" t="s">
        <v>225</v>
      </c>
      <c r="J43" s="14">
        <v>39696866</v>
      </c>
      <c r="K43" s="14"/>
      <c r="L43" s="14" t="s">
        <v>226</v>
      </c>
      <c r="M43" s="14">
        <v>36394521</v>
      </c>
      <c r="N43" s="14" t="s">
        <v>226</v>
      </c>
      <c r="O43" s="14">
        <v>36394521</v>
      </c>
      <c r="P43" s="14" t="s">
        <v>226</v>
      </c>
      <c r="Q43" s="14">
        <v>36394521</v>
      </c>
      <c r="R43" s="14">
        <v>3734</v>
      </c>
      <c r="S43" s="14">
        <v>915</v>
      </c>
      <c r="T43" s="14">
        <v>809</v>
      </c>
      <c r="U43" s="14" t="s">
        <v>227</v>
      </c>
      <c r="V43" s="14" t="s">
        <v>487</v>
      </c>
      <c r="W43" s="14">
        <v>2018</v>
      </c>
      <c r="X43" s="17" t="s">
        <v>928</v>
      </c>
      <c r="Y43" s="15"/>
      <c r="Z43" s="14" t="s">
        <v>561</v>
      </c>
      <c r="AA43" s="14">
        <v>6</v>
      </c>
    </row>
    <row r="44" spans="1:27" ht="24.95" customHeight="1" x14ac:dyDescent="0.2">
      <c r="A44" s="6">
        <v>41</v>
      </c>
      <c r="B44" s="9" t="s">
        <v>8</v>
      </c>
      <c r="C44" s="9"/>
      <c r="D44" s="14" t="s">
        <v>113</v>
      </c>
      <c r="E44" s="14" t="s">
        <v>115</v>
      </c>
      <c r="F44" s="14">
        <v>104</v>
      </c>
      <c r="G44" s="14" t="s">
        <v>228</v>
      </c>
      <c r="H44" s="16" t="s">
        <v>229</v>
      </c>
      <c r="I44" s="14" t="s">
        <v>565</v>
      </c>
      <c r="J44" s="14">
        <v>39694707</v>
      </c>
      <c r="K44" s="14"/>
      <c r="L44" s="14" t="s">
        <v>566</v>
      </c>
      <c r="M44" s="14">
        <v>39622933</v>
      </c>
      <c r="N44" s="14" t="s">
        <v>567</v>
      </c>
      <c r="O44" s="14">
        <v>39252862</v>
      </c>
      <c r="P44" s="14" t="s">
        <v>567</v>
      </c>
      <c r="Q44" s="14">
        <v>39252862</v>
      </c>
      <c r="R44" s="14">
        <v>3657</v>
      </c>
      <c r="S44" s="14">
        <v>5773</v>
      </c>
      <c r="T44" s="14">
        <v>457</v>
      </c>
      <c r="U44" s="14" t="s">
        <v>564</v>
      </c>
      <c r="V44" s="14" t="s">
        <v>486</v>
      </c>
      <c r="W44" s="14">
        <v>2019</v>
      </c>
      <c r="X44" s="17" t="s">
        <v>929</v>
      </c>
      <c r="Y44" s="15"/>
      <c r="Z44" s="14" t="s">
        <v>563</v>
      </c>
      <c r="AA44" s="14">
        <v>8</v>
      </c>
    </row>
    <row r="45" spans="1:27" ht="24.95" customHeight="1" x14ac:dyDescent="0.2">
      <c r="A45" s="6">
        <v>42</v>
      </c>
      <c r="B45" s="9" t="s">
        <v>54</v>
      </c>
      <c r="C45" s="9"/>
      <c r="D45" s="14" t="s">
        <v>113</v>
      </c>
      <c r="E45" s="14" t="s">
        <v>115</v>
      </c>
      <c r="F45" s="14">
        <v>132</v>
      </c>
      <c r="G45" s="14">
        <v>17334434</v>
      </c>
      <c r="H45" s="16" t="s">
        <v>717</v>
      </c>
      <c r="I45" s="14" t="s">
        <v>718</v>
      </c>
      <c r="J45" s="14">
        <v>33009522</v>
      </c>
      <c r="K45" s="14"/>
      <c r="L45" s="14" t="s">
        <v>718</v>
      </c>
      <c r="M45" s="14" t="s">
        <v>1051</v>
      </c>
      <c r="N45" s="14" t="s">
        <v>718</v>
      </c>
      <c r="O45" s="14">
        <v>33009522</v>
      </c>
      <c r="P45" s="14" t="s">
        <v>718</v>
      </c>
      <c r="Q45" s="14">
        <v>33009522</v>
      </c>
      <c r="R45" s="14">
        <v>2465</v>
      </c>
      <c r="S45" s="14">
        <v>2651</v>
      </c>
      <c r="T45" s="14">
        <v>226</v>
      </c>
      <c r="U45" s="14" t="s">
        <v>719</v>
      </c>
      <c r="V45" s="14" t="s">
        <v>484</v>
      </c>
      <c r="W45" s="14">
        <v>2006</v>
      </c>
      <c r="X45" s="17" t="s">
        <v>930</v>
      </c>
      <c r="Y45" s="14"/>
      <c r="Z45" s="14" t="s">
        <v>781</v>
      </c>
      <c r="AA45" s="14">
        <v>10</v>
      </c>
    </row>
    <row r="46" spans="1:27" ht="39.75" customHeight="1" x14ac:dyDescent="0.15">
      <c r="A46" s="6">
        <v>43</v>
      </c>
      <c r="B46" s="9" t="s">
        <v>78</v>
      </c>
      <c r="C46" s="9"/>
      <c r="D46" s="14" t="s">
        <v>113</v>
      </c>
      <c r="E46" s="14" t="s">
        <v>115</v>
      </c>
      <c r="F46" s="14">
        <v>465</v>
      </c>
      <c r="G46" s="19" t="s">
        <v>570</v>
      </c>
      <c r="H46" s="18" t="s">
        <v>1036</v>
      </c>
      <c r="I46" s="14" t="s">
        <v>571</v>
      </c>
      <c r="J46" s="14">
        <v>39457457</v>
      </c>
      <c r="K46" s="14"/>
      <c r="L46" s="14" t="s">
        <v>568</v>
      </c>
      <c r="M46" s="14">
        <v>39966996</v>
      </c>
      <c r="N46" s="14" t="s">
        <v>568</v>
      </c>
      <c r="O46" s="14">
        <v>39966996</v>
      </c>
      <c r="P46" s="14" t="s">
        <v>568</v>
      </c>
      <c r="Q46" s="14">
        <v>39966996</v>
      </c>
      <c r="R46" s="14">
        <v>949</v>
      </c>
      <c r="S46" s="14">
        <v>3831</v>
      </c>
      <c r="T46" s="14">
        <v>1038</v>
      </c>
      <c r="U46" s="14" t="s">
        <v>288</v>
      </c>
      <c r="V46" s="14" t="s">
        <v>486</v>
      </c>
      <c r="W46" s="14">
        <v>2012</v>
      </c>
      <c r="X46" s="17" t="s">
        <v>931</v>
      </c>
      <c r="Y46" s="14"/>
      <c r="Z46" s="14" t="s">
        <v>569</v>
      </c>
      <c r="AA46" s="14">
        <v>24</v>
      </c>
    </row>
    <row r="47" spans="1:27" ht="24.95" customHeight="1" x14ac:dyDescent="0.2">
      <c r="A47" s="6">
        <v>44</v>
      </c>
      <c r="B47" s="9" t="s">
        <v>97</v>
      </c>
      <c r="C47" s="9"/>
      <c r="D47" s="14" t="s">
        <v>113</v>
      </c>
      <c r="E47" s="14" t="s">
        <v>115</v>
      </c>
      <c r="F47" s="14">
        <v>78</v>
      </c>
      <c r="G47" s="14" t="s">
        <v>230</v>
      </c>
      <c r="H47" s="16" t="s">
        <v>231</v>
      </c>
      <c r="I47" s="14" t="s">
        <v>232</v>
      </c>
      <c r="J47" s="14">
        <v>38887772</v>
      </c>
      <c r="K47" s="14"/>
      <c r="L47" s="14" t="s">
        <v>233</v>
      </c>
      <c r="M47" s="14">
        <v>39092540</v>
      </c>
      <c r="N47" s="14" t="s">
        <v>233</v>
      </c>
      <c r="O47" s="14">
        <v>39989444</v>
      </c>
      <c r="P47" s="14" t="s">
        <v>233</v>
      </c>
      <c r="Q47" s="14">
        <v>39092540</v>
      </c>
      <c r="R47" s="14">
        <v>619</v>
      </c>
      <c r="S47" s="14">
        <v>5621</v>
      </c>
      <c r="T47" s="14">
        <v>1056</v>
      </c>
      <c r="U47" s="14" t="s">
        <v>97</v>
      </c>
      <c r="V47" s="14" t="s">
        <v>487</v>
      </c>
      <c r="W47" s="14">
        <v>2012</v>
      </c>
      <c r="X47" s="17" t="s">
        <v>932</v>
      </c>
      <c r="Y47" s="15"/>
      <c r="Z47" s="14" t="s">
        <v>572</v>
      </c>
      <c r="AA47" s="14">
        <v>6</v>
      </c>
    </row>
    <row r="48" spans="1:27" ht="35.25" customHeight="1" x14ac:dyDescent="0.15">
      <c r="A48" s="6">
        <v>45</v>
      </c>
      <c r="B48" s="9" t="s">
        <v>136</v>
      </c>
      <c r="C48" s="9"/>
      <c r="D48" s="14" t="s">
        <v>113</v>
      </c>
      <c r="E48" s="14" t="s">
        <v>115</v>
      </c>
      <c r="F48" s="14">
        <v>199</v>
      </c>
      <c r="G48" s="14">
        <v>17233693</v>
      </c>
      <c r="H48" s="16" t="s">
        <v>720</v>
      </c>
      <c r="I48" s="19" t="s">
        <v>792</v>
      </c>
      <c r="J48" s="14">
        <v>39898337</v>
      </c>
      <c r="K48" s="14"/>
      <c r="L48" s="14" t="s">
        <v>791</v>
      </c>
      <c r="M48" s="14">
        <v>39898337</v>
      </c>
      <c r="N48" s="14" t="s">
        <v>793</v>
      </c>
      <c r="O48" s="14">
        <v>38352160</v>
      </c>
      <c r="P48" s="14" t="s">
        <v>793</v>
      </c>
      <c r="Q48" s="14">
        <v>38352160</v>
      </c>
      <c r="R48" s="14">
        <v>173</v>
      </c>
      <c r="S48" s="14">
        <v>3005</v>
      </c>
      <c r="T48" s="14">
        <v>330</v>
      </c>
      <c r="U48" s="14" t="s">
        <v>776</v>
      </c>
      <c r="V48" s="14" t="s">
        <v>485</v>
      </c>
      <c r="W48" s="14">
        <v>2010</v>
      </c>
      <c r="X48" s="17" t="s">
        <v>933</v>
      </c>
      <c r="Y48" s="14"/>
      <c r="Z48" s="14" t="s">
        <v>820</v>
      </c>
      <c r="AA48" s="14">
        <v>6</v>
      </c>
    </row>
    <row r="49" spans="1:27" ht="24.95" customHeight="1" x14ac:dyDescent="0.2">
      <c r="A49" s="6">
        <v>46</v>
      </c>
      <c r="B49" s="9" t="s">
        <v>5</v>
      </c>
      <c r="C49" s="9"/>
      <c r="D49" s="14" t="s">
        <v>113</v>
      </c>
      <c r="E49" s="14" t="s">
        <v>115</v>
      </c>
      <c r="F49" s="14">
        <v>88</v>
      </c>
      <c r="G49" s="14">
        <v>17701609</v>
      </c>
      <c r="H49" s="16" t="s">
        <v>234</v>
      </c>
      <c r="I49" s="14" t="s">
        <v>235</v>
      </c>
      <c r="J49" s="14">
        <v>39815979</v>
      </c>
      <c r="K49" s="14"/>
      <c r="L49" s="14" t="s">
        <v>1052</v>
      </c>
      <c r="M49" s="14">
        <v>39722988</v>
      </c>
      <c r="N49" s="14" t="s">
        <v>236</v>
      </c>
      <c r="O49" s="14">
        <v>39722988</v>
      </c>
      <c r="P49" s="14" t="s">
        <v>236</v>
      </c>
      <c r="Q49" s="14">
        <v>39722988</v>
      </c>
      <c r="R49" s="14">
        <v>621</v>
      </c>
      <c r="S49" s="14">
        <v>4431</v>
      </c>
      <c r="T49" s="14">
        <v>644</v>
      </c>
      <c r="U49" s="14" t="s">
        <v>237</v>
      </c>
      <c r="V49" s="14" t="s">
        <v>485</v>
      </c>
      <c r="W49" s="14">
        <v>1996</v>
      </c>
      <c r="X49" s="17" t="s">
        <v>934</v>
      </c>
      <c r="Y49" s="14"/>
      <c r="Z49" s="14" t="s">
        <v>573</v>
      </c>
      <c r="AA49" s="14">
        <v>5</v>
      </c>
    </row>
    <row r="50" spans="1:27" ht="39" customHeight="1" x14ac:dyDescent="0.2">
      <c r="A50" s="6">
        <v>47</v>
      </c>
      <c r="B50" s="9" t="s">
        <v>32</v>
      </c>
      <c r="C50" s="9"/>
      <c r="D50" s="14" t="s">
        <v>113</v>
      </c>
      <c r="E50" s="14" t="s">
        <v>115</v>
      </c>
      <c r="F50" s="14">
        <v>97</v>
      </c>
      <c r="G50" s="14">
        <v>17580881</v>
      </c>
      <c r="H50" s="16" t="s">
        <v>238</v>
      </c>
      <c r="I50" s="14" t="s">
        <v>239</v>
      </c>
      <c r="J50" s="14">
        <v>39837350</v>
      </c>
      <c r="K50" s="14"/>
      <c r="L50" s="14" t="s">
        <v>239</v>
      </c>
      <c r="M50" s="14">
        <v>39837350</v>
      </c>
      <c r="N50" s="14" t="s">
        <v>240</v>
      </c>
      <c r="O50" s="14">
        <v>39631515</v>
      </c>
      <c r="P50" s="14" t="s">
        <v>239</v>
      </c>
      <c r="Q50" s="14">
        <v>39837350</v>
      </c>
      <c r="R50" s="14">
        <v>105</v>
      </c>
      <c r="S50" s="14">
        <v>3403</v>
      </c>
      <c r="T50" s="14">
        <v>434</v>
      </c>
      <c r="U50" s="14" t="s">
        <v>241</v>
      </c>
      <c r="V50" s="14" t="s">
        <v>485</v>
      </c>
      <c r="W50" s="14">
        <v>2001</v>
      </c>
      <c r="X50" s="17" t="s">
        <v>935</v>
      </c>
      <c r="Y50" s="14"/>
      <c r="Z50" s="14" t="s">
        <v>821</v>
      </c>
      <c r="AA50" s="14">
        <v>6</v>
      </c>
    </row>
    <row r="51" spans="1:27" ht="24.95" customHeight="1" x14ac:dyDescent="0.2">
      <c r="A51" s="6">
        <v>48</v>
      </c>
      <c r="B51" s="9" t="s">
        <v>57</v>
      </c>
      <c r="C51" s="9"/>
      <c r="D51" s="14" t="s">
        <v>113</v>
      </c>
      <c r="E51" s="14" t="s">
        <v>115</v>
      </c>
      <c r="F51" s="14">
        <v>145</v>
      </c>
      <c r="G51" s="14" t="s">
        <v>242</v>
      </c>
      <c r="H51" s="16" t="s">
        <v>575</v>
      </c>
      <c r="I51" s="14" t="s">
        <v>243</v>
      </c>
      <c r="J51" s="14">
        <v>33397222</v>
      </c>
      <c r="K51" s="14"/>
      <c r="L51" s="14" t="s">
        <v>243</v>
      </c>
      <c r="M51" s="14">
        <v>33397222</v>
      </c>
      <c r="N51" s="14" t="s">
        <v>243</v>
      </c>
      <c r="O51" s="14">
        <v>33397222</v>
      </c>
      <c r="P51" s="14" t="s">
        <v>243</v>
      </c>
      <c r="Q51" s="14">
        <v>33397222</v>
      </c>
      <c r="R51" s="14">
        <v>2497</v>
      </c>
      <c r="S51" s="14">
        <v>3241</v>
      </c>
      <c r="T51" s="14">
        <v>1032</v>
      </c>
      <c r="U51" s="14" t="s">
        <v>244</v>
      </c>
      <c r="V51" s="14" t="s">
        <v>486</v>
      </c>
      <c r="W51" s="14">
        <v>2014</v>
      </c>
      <c r="X51" s="17" t="s">
        <v>936</v>
      </c>
      <c r="Y51" s="14"/>
      <c r="Z51" s="14" t="s">
        <v>574</v>
      </c>
      <c r="AA51" s="14">
        <v>11</v>
      </c>
    </row>
    <row r="52" spans="1:27" ht="30" customHeight="1" x14ac:dyDescent="0.2">
      <c r="A52" s="6">
        <v>49</v>
      </c>
      <c r="B52" s="9" t="s">
        <v>67</v>
      </c>
      <c r="C52" s="9"/>
      <c r="D52" s="14" t="s">
        <v>113</v>
      </c>
      <c r="E52" s="14" t="s">
        <v>115</v>
      </c>
      <c r="F52" s="14">
        <v>227</v>
      </c>
      <c r="G52" s="14">
        <v>17430884</v>
      </c>
      <c r="H52" s="18" t="s">
        <v>1043</v>
      </c>
      <c r="I52" s="14" t="s">
        <v>472</v>
      </c>
      <c r="J52" s="14">
        <v>33389599</v>
      </c>
      <c r="K52" s="14"/>
      <c r="L52" s="14" t="s">
        <v>472</v>
      </c>
      <c r="M52" s="14">
        <v>33389599</v>
      </c>
      <c r="N52" s="14" t="s">
        <v>472</v>
      </c>
      <c r="O52" s="14">
        <v>33389599</v>
      </c>
      <c r="P52" s="14" t="s">
        <v>473</v>
      </c>
      <c r="Q52" s="14">
        <v>33389599</v>
      </c>
      <c r="R52" s="14">
        <v>425</v>
      </c>
      <c r="S52" s="14">
        <v>1206</v>
      </c>
      <c r="T52" s="14">
        <v>1212</v>
      </c>
      <c r="U52" s="14" t="s">
        <v>474</v>
      </c>
      <c r="V52" s="14" t="s">
        <v>486</v>
      </c>
      <c r="W52" s="14">
        <v>2009</v>
      </c>
      <c r="X52" s="17" t="s">
        <v>937</v>
      </c>
      <c r="Y52" s="17"/>
      <c r="Z52" s="14" t="s">
        <v>576</v>
      </c>
      <c r="AA52" s="14">
        <v>13</v>
      </c>
    </row>
    <row r="53" spans="1:27" ht="24.95" customHeight="1" x14ac:dyDescent="0.2">
      <c r="A53" s="6">
        <v>50</v>
      </c>
      <c r="B53" s="9" t="s">
        <v>24</v>
      </c>
      <c r="C53" s="9"/>
      <c r="D53" s="14" t="s">
        <v>113</v>
      </c>
      <c r="E53" s="14" t="s">
        <v>115</v>
      </c>
      <c r="F53" s="14">
        <v>679</v>
      </c>
      <c r="G53" s="14">
        <v>17670407</v>
      </c>
      <c r="H53" s="16" t="s">
        <v>245</v>
      </c>
      <c r="I53" s="14" t="s">
        <v>246</v>
      </c>
      <c r="J53" s="14">
        <v>39332700</v>
      </c>
      <c r="K53" s="14"/>
      <c r="L53" s="14" t="s">
        <v>247</v>
      </c>
      <c r="M53" s="14">
        <v>39555995</v>
      </c>
      <c r="N53" s="14" t="s">
        <v>247</v>
      </c>
      <c r="O53" s="14">
        <v>39555995</v>
      </c>
      <c r="P53" s="14" t="s">
        <v>248</v>
      </c>
      <c r="Q53" s="14">
        <v>34569714</v>
      </c>
      <c r="R53" s="14">
        <v>670</v>
      </c>
      <c r="S53" s="14">
        <v>4133</v>
      </c>
      <c r="T53" s="14">
        <v>241</v>
      </c>
      <c r="U53" s="14" t="s">
        <v>172</v>
      </c>
      <c r="V53" s="14" t="s">
        <v>484</v>
      </c>
      <c r="W53" s="14">
        <v>2018</v>
      </c>
      <c r="X53" s="17" t="s">
        <v>938</v>
      </c>
      <c r="Y53" s="14"/>
      <c r="Z53" s="14" t="s">
        <v>882</v>
      </c>
      <c r="AA53" s="14">
        <v>31</v>
      </c>
    </row>
    <row r="54" spans="1:27" ht="24.95" customHeight="1" x14ac:dyDescent="0.2">
      <c r="A54" s="6">
        <v>51</v>
      </c>
      <c r="B54" s="9" t="s">
        <v>40</v>
      </c>
      <c r="C54" s="9"/>
      <c r="D54" s="14" t="s">
        <v>113</v>
      </c>
      <c r="E54" s="14" t="s">
        <v>115</v>
      </c>
      <c r="F54" s="14">
        <v>108</v>
      </c>
      <c r="G54" s="14">
        <v>17699693</v>
      </c>
      <c r="H54" s="18" t="s">
        <v>860</v>
      </c>
      <c r="I54" s="14" t="s">
        <v>694</v>
      </c>
      <c r="J54" s="14">
        <v>39210141</v>
      </c>
      <c r="K54" s="14"/>
      <c r="L54" s="14" t="s">
        <v>694</v>
      </c>
      <c r="M54" s="14">
        <v>39210141</v>
      </c>
      <c r="N54" s="14" t="s">
        <v>694</v>
      </c>
      <c r="O54" s="14">
        <v>39210141</v>
      </c>
      <c r="P54" s="14" t="s">
        <v>694</v>
      </c>
      <c r="Q54" s="14">
        <v>39210141</v>
      </c>
      <c r="R54" s="14">
        <v>1877</v>
      </c>
      <c r="S54" s="14">
        <v>4063</v>
      </c>
      <c r="T54" s="14">
        <v>540</v>
      </c>
      <c r="U54" s="14" t="s">
        <v>695</v>
      </c>
      <c r="V54" s="14" t="s">
        <v>486</v>
      </c>
      <c r="W54" s="14">
        <v>2008</v>
      </c>
      <c r="X54" s="17" t="s">
        <v>939</v>
      </c>
      <c r="Y54" s="14"/>
      <c r="Z54" s="14" t="s">
        <v>883</v>
      </c>
      <c r="AA54" s="14">
        <v>7</v>
      </c>
    </row>
    <row r="55" spans="1:27" ht="24.95" customHeight="1" x14ac:dyDescent="0.2">
      <c r="A55" s="6">
        <v>52</v>
      </c>
      <c r="B55" s="9" t="s">
        <v>28</v>
      </c>
      <c r="C55" s="9"/>
      <c r="D55" s="14" t="s">
        <v>113</v>
      </c>
      <c r="E55" s="14" t="s">
        <v>115</v>
      </c>
      <c r="F55" s="14">
        <v>117</v>
      </c>
      <c r="G55" s="14" t="s">
        <v>724</v>
      </c>
      <c r="H55" s="16" t="s">
        <v>723</v>
      </c>
      <c r="I55" s="14" t="s">
        <v>722</v>
      </c>
      <c r="J55" s="14">
        <v>33191935</v>
      </c>
      <c r="K55" s="14"/>
      <c r="L55" s="14" t="s">
        <v>721</v>
      </c>
      <c r="M55" s="14">
        <v>36657226</v>
      </c>
      <c r="N55" s="14" t="s">
        <v>721</v>
      </c>
      <c r="O55" s="14">
        <v>36657226</v>
      </c>
      <c r="P55" s="14" t="s">
        <v>721</v>
      </c>
      <c r="Q55" s="14">
        <v>36657226</v>
      </c>
      <c r="R55" s="14">
        <v>1165</v>
      </c>
      <c r="S55" s="14">
        <v>316</v>
      </c>
      <c r="T55" s="14">
        <v>1203</v>
      </c>
      <c r="U55" s="14" t="s">
        <v>474</v>
      </c>
      <c r="V55" s="14" t="s">
        <v>486</v>
      </c>
      <c r="W55" s="14">
        <v>2009</v>
      </c>
      <c r="X55" s="17" t="s">
        <v>940</v>
      </c>
      <c r="Y55" s="14"/>
      <c r="Z55" s="14" t="s">
        <v>822</v>
      </c>
      <c r="AA55" s="14">
        <v>7</v>
      </c>
    </row>
    <row r="56" spans="1:27" ht="24.95" customHeight="1" x14ac:dyDescent="0.2">
      <c r="A56" s="6">
        <v>53</v>
      </c>
      <c r="B56" s="9" t="s">
        <v>19</v>
      </c>
      <c r="C56" s="9"/>
      <c r="D56" s="14" t="s">
        <v>113</v>
      </c>
      <c r="E56" s="14" t="s">
        <v>115</v>
      </c>
      <c r="F56" s="14">
        <v>171</v>
      </c>
      <c r="G56" s="14">
        <v>17624868</v>
      </c>
      <c r="H56" s="16" t="s">
        <v>578</v>
      </c>
      <c r="I56" s="14" t="s">
        <v>579</v>
      </c>
      <c r="J56" s="14">
        <v>32237188</v>
      </c>
      <c r="K56" s="14"/>
      <c r="L56" s="14" t="s">
        <v>577</v>
      </c>
      <c r="M56" s="14">
        <v>39621661</v>
      </c>
      <c r="N56" s="14" t="s">
        <v>577</v>
      </c>
      <c r="O56" s="14">
        <v>39621661</v>
      </c>
      <c r="P56" s="14" t="s">
        <v>577</v>
      </c>
      <c r="Q56" s="14">
        <v>39621661</v>
      </c>
      <c r="R56" s="14">
        <v>1764</v>
      </c>
      <c r="S56" s="14">
        <v>4635</v>
      </c>
      <c r="T56" s="14">
        <v>646</v>
      </c>
      <c r="U56" s="14" t="s">
        <v>580</v>
      </c>
      <c r="V56" s="14" t="s">
        <v>487</v>
      </c>
      <c r="W56" s="14">
        <v>1996</v>
      </c>
      <c r="X56" s="17" t="s">
        <v>941</v>
      </c>
      <c r="Y56" s="14"/>
      <c r="Z56" s="14" t="s">
        <v>824</v>
      </c>
      <c r="AA56" s="14">
        <v>7</v>
      </c>
    </row>
    <row r="57" spans="1:27" ht="24.95" customHeight="1" x14ac:dyDescent="0.2">
      <c r="A57" s="6">
        <v>54</v>
      </c>
      <c r="B57" s="9" t="s">
        <v>86</v>
      </c>
      <c r="C57" s="9"/>
      <c r="D57" s="14" t="s">
        <v>113</v>
      </c>
      <c r="E57" s="14" t="s">
        <v>115</v>
      </c>
      <c r="F57" s="14">
        <v>104</v>
      </c>
      <c r="G57" s="14">
        <v>32163337</v>
      </c>
      <c r="H57" s="16" t="s">
        <v>470</v>
      </c>
      <c r="I57" s="14" t="s">
        <v>471</v>
      </c>
      <c r="J57" s="14">
        <v>36332554</v>
      </c>
      <c r="K57" s="14"/>
      <c r="L57" s="14" t="s">
        <v>471</v>
      </c>
      <c r="M57" s="14">
        <v>36332554</v>
      </c>
      <c r="N57" s="14" t="s">
        <v>471</v>
      </c>
      <c r="O57" s="14">
        <v>36332554</v>
      </c>
      <c r="P57" s="14" t="s">
        <v>471</v>
      </c>
      <c r="Q57" s="14">
        <v>36332554</v>
      </c>
      <c r="R57" s="14">
        <v>73</v>
      </c>
      <c r="S57" s="14">
        <v>41</v>
      </c>
      <c r="T57" s="14">
        <v>441</v>
      </c>
      <c r="U57" s="14" t="s">
        <v>439</v>
      </c>
      <c r="V57" s="14" t="s">
        <v>486</v>
      </c>
      <c r="W57" s="14">
        <v>2019</v>
      </c>
      <c r="X57" s="17" t="s">
        <v>942</v>
      </c>
      <c r="Y57" s="14"/>
      <c r="Z57" s="14" t="s">
        <v>581</v>
      </c>
      <c r="AA57" s="14">
        <v>6</v>
      </c>
    </row>
    <row r="58" spans="1:27" ht="24.95" customHeight="1" x14ac:dyDescent="0.2">
      <c r="A58" s="6">
        <v>55</v>
      </c>
      <c r="B58" s="9" t="s">
        <v>21</v>
      </c>
      <c r="C58" s="9"/>
      <c r="D58" s="14" t="s">
        <v>113</v>
      </c>
      <c r="E58" s="14" t="s">
        <v>115</v>
      </c>
      <c r="F58" s="14">
        <v>154</v>
      </c>
      <c r="G58" s="14">
        <v>17737880</v>
      </c>
      <c r="H58" s="14" t="s">
        <v>453</v>
      </c>
      <c r="I58" s="14" t="s">
        <v>454</v>
      </c>
      <c r="J58" s="14">
        <v>39603346</v>
      </c>
      <c r="K58" s="14"/>
      <c r="L58" s="14" t="s">
        <v>455</v>
      </c>
      <c r="M58" s="14">
        <v>33488153</v>
      </c>
      <c r="N58" s="14" t="s">
        <v>455</v>
      </c>
      <c r="O58" s="14">
        <v>33488153</v>
      </c>
      <c r="P58" s="14" t="s">
        <v>456</v>
      </c>
      <c r="Q58" s="14">
        <v>33488153</v>
      </c>
      <c r="R58" s="14">
        <v>1338</v>
      </c>
      <c r="S58" s="14">
        <v>234</v>
      </c>
      <c r="T58" s="14">
        <v>602</v>
      </c>
      <c r="U58" s="14" t="s">
        <v>583</v>
      </c>
      <c r="V58" s="14" t="s">
        <v>485</v>
      </c>
      <c r="W58" s="14">
        <v>2020</v>
      </c>
      <c r="X58" s="17" t="s">
        <v>943</v>
      </c>
      <c r="Y58" s="15"/>
      <c r="Z58" s="14" t="s">
        <v>582</v>
      </c>
      <c r="AA58" s="14">
        <v>9</v>
      </c>
    </row>
    <row r="59" spans="1:27" ht="24.95" customHeight="1" x14ac:dyDescent="0.2">
      <c r="A59" s="6">
        <v>56</v>
      </c>
      <c r="B59" s="9" t="s">
        <v>77</v>
      </c>
      <c r="C59" s="9"/>
      <c r="D59" s="14" t="s">
        <v>113</v>
      </c>
      <c r="E59" s="14" t="s">
        <v>115</v>
      </c>
      <c r="F59" s="14">
        <v>195</v>
      </c>
      <c r="G59" s="14">
        <v>36955282</v>
      </c>
      <c r="H59" s="16" t="s">
        <v>249</v>
      </c>
      <c r="I59" s="14" t="s">
        <v>250</v>
      </c>
      <c r="J59" s="14">
        <v>39669623</v>
      </c>
      <c r="K59" s="14"/>
      <c r="L59" s="14" t="s">
        <v>251</v>
      </c>
      <c r="M59" s="14">
        <v>39331323</v>
      </c>
      <c r="N59" s="14" t="s">
        <v>251</v>
      </c>
      <c r="O59" s="14">
        <v>39331323</v>
      </c>
      <c r="P59" s="14" t="s">
        <v>251</v>
      </c>
      <c r="Q59" s="14">
        <v>39331323</v>
      </c>
      <c r="R59" s="14">
        <v>25</v>
      </c>
      <c r="S59" s="14">
        <v>1001</v>
      </c>
      <c r="T59" s="14">
        <v>1210</v>
      </c>
      <c r="U59" s="14" t="s">
        <v>214</v>
      </c>
      <c r="V59" s="14" t="s">
        <v>486</v>
      </c>
      <c r="W59" s="14">
        <v>2013</v>
      </c>
      <c r="X59" s="17" t="s">
        <v>944</v>
      </c>
      <c r="Y59" s="14"/>
      <c r="Z59" s="14" t="s">
        <v>1032</v>
      </c>
      <c r="AA59" s="14">
        <v>10</v>
      </c>
    </row>
    <row r="60" spans="1:27" ht="24.95" customHeight="1" x14ac:dyDescent="0.2">
      <c r="A60" s="6">
        <v>57</v>
      </c>
      <c r="B60" s="9" t="s">
        <v>36</v>
      </c>
      <c r="C60" s="9"/>
      <c r="D60" s="14" t="s">
        <v>113</v>
      </c>
      <c r="E60" s="14" t="s">
        <v>115</v>
      </c>
      <c r="F60" s="14">
        <v>160</v>
      </c>
      <c r="G60" s="14" t="s">
        <v>584</v>
      </c>
      <c r="H60" s="16" t="s">
        <v>252</v>
      </c>
      <c r="I60" s="14" t="s">
        <v>253</v>
      </c>
      <c r="J60" s="14">
        <v>39266606</v>
      </c>
      <c r="K60" s="14"/>
      <c r="L60" s="14" t="s">
        <v>1053</v>
      </c>
      <c r="M60" s="14">
        <v>66622645</v>
      </c>
      <c r="N60" s="14" t="s">
        <v>254</v>
      </c>
      <c r="O60" s="14" t="s">
        <v>255</v>
      </c>
      <c r="P60" s="14" t="s">
        <v>256</v>
      </c>
      <c r="Q60" s="14">
        <v>33113816</v>
      </c>
      <c r="R60" s="14" t="s">
        <v>1079</v>
      </c>
      <c r="S60" s="14">
        <v>51</v>
      </c>
      <c r="T60" s="14">
        <v>216</v>
      </c>
      <c r="U60" s="14" t="s">
        <v>173</v>
      </c>
      <c r="V60" s="14" t="s">
        <v>484</v>
      </c>
      <c r="W60" s="14">
        <v>2002</v>
      </c>
      <c r="X60" s="17" t="s">
        <v>945</v>
      </c>
      <c r="Y60" s="15"/>
      <c r="Z60" s="14" t="s">
        <v>885</v>
      </c>
      <c r="AA60" s="14">
        <v>6</v>
      </c>
    </row>
    <row r="61" spans="1:27" ht="24.95" customHeight="1" x14ac:dyDescent="0.2">
      <c r="A61" s="6">
        <v>58</v>
      </c>
      <c r="B61" s="9" t="s">
        <v>41</v>
      </c>
      <c r="C61" s="9"/>
      <c r="D61" s="14" t="s">
        <v>113</v>
      </c>
      <c r="E61" s="14" t="s">
        <v>115</v>
      </c>
      <c r="F61" s="14">
        <v>72</v>
      </c>
      <c r="G61" s="14">
        <v>17423101</v>
      </c>
      <c r="H61" s="16" t="s">
        <v>725</v>
      </c>
      <c r="I61" s="14" t="s">
        <v>794</v>
      </c>
      <c r="J61" s="14">
        <v>39209913</v>
      </c>
      <c r="K61" s="14"/>
      <c r="L61" s="14" t="s">
        <v>794</v>
      </c>
      <c r="M61" s="14">
        <v>39209913</v>
      </c>
      <c r="N61" s="14" t="s">
        <v>794</v>
      </c>
      <c r="O61" s="14">
        <v>39209913</v>
      </c>
      <c r="P61" s="14" t="s">
        <v>794</v>
      </c>
      <c r="Q61" s="14">
        <v>39209913</v>
      </c>
      <c r="R61" s="14">
        <v>1549</v>
      </c>
      <c r="S61" s="14">
        <v>821</v>
      </c>
      <c r="T61" s="14">
        <v>1208</v>
      </c>
      <c r="U61" s="14" t="s">
        <v>474</v>
      </c>
      <c r="V61" s="14" t="s">
        <v>486</v>
      </c>
      <c r="W61" s="14">
        <v>2003</v>
      </c>
      <c r="X61" s="17" t="s">
        <v>946</v>
      </c>
      <c r="Y61" s="14"/>
      <c r="Z61" s="14" t="s">
        <v>782</v>
      </c>
      <c r="AA61" s="14">
        <v>8</v>
      </c>
    </row>
    <row r="62" spans="1:27" ht="24.75" customHeight="1" x14ac:dyDescent="0.2">
      <c r="A62" s="6">
        <v>59</v>
      </c>
      <c r="B62" s="9" t="s">
        <v>64</v>
      </c>
      <c r="C62" s="9"/>
      <c r="D62" s="14" t="s">
        <v>113</v>
      </c>
      <c r="E62" s="14" t="s">
        <v>115</v>
      </c>
      <c r="F62" s="14">
        <v>110</v>
      </c>
      <c r="G62" s="14">
        <v>17791595</v>
      </c>
      <c r="H62" s="16" t="s">
        <v>585</v>
      </c>
      <c r="I62" s="14" t="s">
        <v>1129</v>
      </c>
      <c r="J62" s="14" t="s">
        <v>588</v>
      </c>
      <c r="K62" s="14"/>
      <c r="L62" s="14" t="s">
        <v>1177</v>
      </c>
      <c r="M62" s="14">
        <v>39996640</v>
      </c>
      <c r="N62" s="14"/>
      <c r="O62" s="14"/>
      <c r="P62" s="14" t="s">
        <v>587</v>
      </c>
      <c r="Q62" s="14" t="s">
        <v>588</v>
      </c>
      <c r="R62" s="14">
        <v>100</v>
      </c>
      <c r="S62" s="14">
        <v>7703</v>
      </c>
      <c r="T62" s="14">
        <v>477</v>
      </c>
      <c r="U62" s="14" t="s">
        <v>586</v>
      </c>
      <c r="V62" s="14" t="s">
        <v>486</v>
      </c>
      <c r="W62" s="14">
        <v>2015</v>
      </c>
      <c r="X62" s="17" t="s">
        <v>947</v>
      </c>
      <c r="Y62" s="15"/>
      <c r="Z62" s="14" t="s">
        <v>825</v>
      </c>
      <c r="AA62" s="14">
        <v>6</v>
      </c>
    </row>
    <row r="63" spans="1:27" s="13" customFormat="1" ht="24.95" customHeight="1" x14ac:dyDescent="0.2">
      <c r="A63" s="6">
        <v>60</v>
      </c>
      <c r="B63" s="9" t="s">
        <v>27</v>
      </c>
      <c r="C63" s="9"/>
      <c r="D63" s="14" t="s">
        <v>113</v>
      </c>
      <c r="E63" s="14" t="s">
        <v>115</v>
      </c>
      <c r="F63" s="14">
        <v>120</v>
      </c>
      <c r="G63" s="14">
        <v>17323340</v>
      </c>
      <c r="H63" s="16" t="s">
        <v>590</v>
      </c>
      <c r="I63" s="14" t="s">
        <v>591</v>
      </c>
      <c r="J63" s="14">
        <v>39734747</v>
      </c>
      <c r="K63" s="14"/>
      <c r="L63" s="14" t="s">
        <v>1163</v>
      </c>
      <c r="M63" s="14">
        <v>33384460</v>
      </c>
      <c r="N63" s="14" t="s">
        <v>589</v>
      </c>
      <c r="O63" s="14">
        <v>38408069</v>
      </c>
      <c r="P63" s="14" t="s">
        <v>589</v>
      </c>
      <c r="Q63" s="14">
        <v>38408069</v>
      </c>
      <c r="R63" s="14">
        <v>732</v>
      </c>
      <c r="S63" s="14">
        <v>3326</v>
      </c>
      <c r="T63" s="14">
        <v>233</v>
      </c>
      <c r="U63" s="14" t="s">
        <v>207</v>
      </c>
      <c r="V63" s="14" t="s">
        <v>484</v>
      </c>
      <c r="W63" s="14">
        <v>1999</v>
      </c>
      <c r="X63" s="17" t="s">
        <v>948</v>
      </c>
      <c r="Y63" s="14"/>
      <c r="Z63" s="17" t="s">
        <v>855</v>
      </c>
      <c r="AA63" s="14">
        <v>8</v>
      </c>
    </row>
    <row r="64" spans="1:27" ht="24.95" customHeight="1" x14ac:dyDescent="0.2">
      <c r="A64" s="6">
        <v>61</v>
      </c>
      <c r="B64" s="9" t="s">
        <v>98</v>
      </c>
      <c r="C64" s="9"/>
      <c r="D64" s="14" t="s">
        <v>113</v>
      </c>
      <c r="E64" s="14" t="s">
        <v>115</v>
      </c>
      <c r="F64" s="14">
        <v>72</v>
      </c>
      <c r="G64" s="14">
        <v>34228664</v>
      </c>
      <c r="H64" s="16" t="s">
        <v>258</v>
      </c>
      <c r="I64" s="14" t="s">
        <v>593</v>
      </c>
      <c r="J64" s="14">
        <v>34228664</v>
      </c>
      <c r="K64" s="14"/>
      <c r="L64" s="14" t="s">
        <v>1054</v>
      </c>
      <c r="M64" s="14">
        <v>33373159</v>
      </c>
      <c r="N64" s="14" t="s">
        <v>1054</v>
      </c>
      <c r="O64" s="14">
        <v>33373159</v>
      </c>
      <c r="P64" s="14"/>
      <c r="Q64" s="14"/>
      <c r="R64" s="14" t="s">
        <v>861</v>
      </c>
      <c r="S64" s="14">
        <v>35</v>
      </c>
      <c r="T64" s="14">
        <v>435</v>
      </c>
      <c r="U64" s="14" t="s">
        <v>259</v>
      </c>
      <c r="V64" s="14" t="s">
        <v>486</v>
      </c>
      <c r="W64" s="14">
        <v>2019</v>
      </c>
      <c r="X64" s="17" t="s">
        <v>949</v>
      </c>
      <c r="Y64" s="21"/>
      <c r="Z64" s="14" t="s">
        <v>592</v>
      </c>
      <c r="AA64" s="14">
        <v>5</v>
      </c>
    </row>
    <row r="65" spans="1:27" ht="24.95" customHeight="1" x14ac:dyDescent="0.2">
      <c r="A65" s="6">
        <v>62</v>
      </c>
      <c r="B65" s="9" t="s">
        <v>105</v>
      </c>
      <c r="C65" s="9"/>
      <c r="D65" s="14" t="s">
        <v>113</v>
      </c>
      <c r="E65" s="14" t="s">
        <v>115</v>
      </c>
      <c r="F65" s="14">
        <v>95</v>
      </c>
      <c r="G65" s="14">
        <v>17774504</v>
      </c>
      <c r="H65" s="16" t="s">
        <v>260</v>
      </c>
      <c r="I65" s="14" t="s">
        <v>261</v>
      </c>
      <c r="J65" s="14">
        <v>39668070</v>
      </c>
      <c r="K65" s="14"/>
      <c r="L65" s="14" t="s">
        <v>262</v>
      </c>
      <c r="M65" s="14">
        <v>39404234</v>
      </c>
      <c r="N65" s="14" t="s">
        <v>262</v>
      </c>
      <c r="O65" s="14">
        <v>39404234</v>
      </c>
      <c r="P65" s="14" t="s">
        <v>262</v>
      </c>
      <c r="Q65" s="14">
        <v>39404234</v>
      </c>
      <c r="R65" s="14">
        <v>112</v>
      </c>
      <c r="S65" s="14">
        <v>1204</v>
      </c>
      <c r="T65" s="14">
        <v>912</v>
      </c>
      <c r="U65" s="14" t="s">
        <v>263</v>
      </c>
      <c r="V65" s="14" t="s">
        <v>487</v>
      </c>
      <c r="W65" s="14">
        <v>1993</v>
      </c>
      <c r="X65" s="17" t="s">
        <v>950</v>
      </c>
      <c r="Y65" s="14"/>
      <c r="Z65" s="14" t="s">
        <v>594</v>
      </c>
      <c r="AA65" s="14">
        <v>7</v>
      </c>
    </row>
    <row r="66" spans="1:27" ht="24.95" customHeight="1" x14ac:dyDescent="0.2">
      <c r="A66" s="6">
        <v>63</v>
      </c>
      <c r="B66" s="9" t="s">
        <v>10</v>
      </c>
      <c r="C66" s="9"/>
      <c r="D66" s="14" t="s">
        <v>113</v>
      </c>
      <c r="E66" s="14" t="s">
        <v>115</v>
      </c>
      <c r="F66" s="14">
        <v>60</v>
      </c>
      <c r="G66" s="14" t="s">
        <v>726</v>
      </c>
      <c r="H66" s="18" t="s">
        <v>1111</v>
      </c>
      <c r="I66" s="14" t="s">
        <v>796</v>
      </c>
      <c r="J66" s="14">
        <v>39449100</v>
      </c>
      <c r="K66" s="14"/>
      <c r="L66" s="14" t="s">
        <v>727</v>
      </c>
      <c r="M66" s="14">
        <v>39403888</v>
      </c>
      <c r="N66" s="14" t="s">
        <v>727</v>
      </c>
      <c r="O66" s="14">
        <v>39403888</v>
      </c>
      <c r="P66" s="14" t="s">
        <v>727</v>
      </c>
      <c r="Q66" s="14">
        <v>39403888</v>
      </c>
      <c r="R66" s="14">
        <v>1773</v>
      </c>
      <c r="S66" s="14">
        <v>3637</v>
      </c>
      <c r="T66" s="14">
        <v>536</v>
      </c>
      <c r="U66" s="14" t="s">
        <v>695</v>
      </c>
      <c r="V66" s="14" t="s">
        <v>486</v>
      </c>
      <c r="W66" s="14">
        <v>1992</v>
      </c>
      <c r="X66" s="17" t="s">
        <v>951</v>
      </c>
      <c r="Y66" s="15"/>
      <c r="Z66" s="14" t="s">
        <v>795</v>
      </c>
      <c r="AA66" s="14">
        <v>5</v>
      </c>
    </row>
    <row r="67" spans="1:27" ht="24.95" customHeight="1" x14ac:dyDescent="0.2">
      <c r="A67" s="6">
        <v>64</v>
      </c>
      <c r="B67" s="9" t="s">
        <v>79</v>
      </c>
      <c r="C67" s="9"/>
      <c r="D67" s="14" t="s">
        <v>113</v>
      </c>
      <c r="E67" s="14" t="s">
        <v>115</v>
      </c>
      <c r="F67" s="14">
        <v>199</v>
      </c>
      <c r="G67" s="14">
        <v>17596919</v>
      </c>
      <c r="H67" s="16" t="s">
        <v>264</v>
      </c>
      <c r="I67" s="14" t="s">
        <v>265</v>
      </c>
      <c r="J67" s="14">
        <v>33623633</v>
      </c>
      <c r="K67" s="14"/>
      <c r="L67" s="14" t="s">
        <v>265</v>
      </c>
      <c r="M67" s="14">
        <v>33623633</v>
      </c>
      <c r="N67" s="14" t="s">
        <v>265</v>
      </c>
      <c r="O67" s="14">
        <v>33623633</v>
      </c>
      <c r="P67" s="14" t="s">
        <v>266</v>
      </c>
      <c r="Q67" s="14">
        <v>36396334</v>
      </c>
      <c r="R67" s="14">
        <v>1700</v>
      </c>
      <c r="S67" s="14">
        <v>4352</v>
      </c>
      <c r="T67" s="14">
        <v>743</v>
      </c>
      <c r="U67" s="14" t="s">
        <v>267</v>
      </c>
      <c r="V67" s="14" t="s">
        <v>485</v>
      </c>
      <c r="W67" s="14">
        <v>2017</v>
      </c>
      <c r="X67" s="17" t="s">
        <v>952</v>
      </c>
      <c r="Y67" s="15"/>
      <c r="Z67" s="14" t="s">
        <v>826</v>
      </c>
      <c r="AA67" s="14">
        <v>10</v>
      </c>
    </row>
    <row r="68" spans="1:27" ht="24.95" customHeight="1" x14ac:dyDescent="0.2">
      <c r="A68" s="6">
        <v>65</v>
      </c>
      <c r="B68" s="9" t="s">
        <v>268</v>
      </c>
      <c r="C68" s="9"/>
      <c r="D68" s="14" t="s">
        <v>113</v>
      </c>
      <c r="E68" s="14" t="s">
        <v>115</v>
      </c>
      <c r="F68" s="14">
        <v>112</v>
      </c>
      <c r="G68" s="14">
        <v>17770475</v>
      </c>
      <c r="H68" s="16" t="s">
        <v>706</v>
      </c>
      <c r="I68" s="14" t="s">
        <v>269</v>
      </c>
      <c r="J68" s="14">
        <v>39167626</v>
      </c>
      <c r="K68" s="14"/>
      <c r="L68" s="14" t="s">
        <v>269</v>
      </c>
      <c r="M68" s="14">
        <v>39167626</v>
      </c>
      <c r="N68" s="14" t="s">
        <v>269</v>
      </c>
      <c r="O68" s="14">
        <v>39167626</v>
      </c>
      <c r="P68" s="14" t="s">
        <v>269</v>
      </c>
      <c r="Q68" s="14">
        <v>39167626</v>
      </c>
      <c r="R68" s="14">
        <v>770</v>
      </c>
      <c r="S68" s="14">
        <v>2915</v>
      </c>
      <c r="T68" s="14">
        <v>929</v>
      </c>
      <c r="U68" s="14" t="s">
        <v>705</v>
      </c>
      <c r="V68" s="14" t="s">
        <v>487</v>
      </c>
      <c r="W68" s="14">
        <v>2007</v>
      </c>
      <c r="X68" s="17" t="s">
        <v>953</v>
      </c>
      <c r="Y68" s="22"/>
      <c r="Z68" s="14" t="s">
        <v>707</v>
      </c>
      <c r="AA68" s="14">
        <v>5</v>
      </c>
    </row>
    <row r="69" spans="1:27" ht="24.95" customHeight="1" x14ac:dyDescent="0.2">
      <c r="A69" s="6">
        <v>66</v>
      </c>
      <c r="B69" s="9" t="s">
        <v>11</v>
      </c>
      <c r="C69" s="9"/>
      <c r="D69" s="14" t="s">
        <v>113</v>
      </c>
      <c r="E69" s="14" t="s">
        <v>115</v>
      </c>
      <c r="F69" s="14">
        <v>65</v>
      </c>
      <c r="G69" s="14">
        <v>33606612</v>
      </c>
      <c r="H69" s="16" t="s">
        <v>270</v>
      </c>
      <c r="I69" s="14" t="s">
        <v>271</v>
      </c>
      <c r="J69" s="14">
        <v>36456453</v>
      </c>
      <c r="K69" s="14"/>
      <c r="L69" s="14" t="s">
        <v>271</v>
      </c>
      <c r="M69" s="14" t="s">
        <v>1055</v>
      </c>
      <c r="N69" s="14" t="s">
        <v>272</v>
      </c>
      <c r="O69" s="14">
        <v>38853308</v>
      </c>
      <c r="P69" s="14" t="s">
        <v>273</v>
      </c>
      <c r="Q69" s="14">
        <v>38853308</v>
      </c>
      <c r="R69" s="14">
        <v>671</v>
      </c>
      <c r="S69" s="14">
        <v>3313</v>
      </c>
      <c r="T69" s="14">
        <v>333</v>
      </c>
      <c r="U69" s="14" t="s">
        <v>274</v>
      </c>
      <c r="V69" s="14" t="s">
        <v>485</v>
      </c>
      <c r="W69" s="14">
        <v>1993</v>
      </c>
      <c r="X69" s="17" t="s">
        <v>954</v>
      </c>
      <c r="Y69" s="15"/>
      <c r="Z69" s="14" t="s">
        <v>596</v>
      </c>
      <c r="AA69" s="14">
        <v>6</v>
      </c>
    </row>
    <row r="70" spans="1:27" ht="24.95" customHeight="1" x14ac:dyDescent="0.2">
      <c r="A70" s="6">
        <v>67</v>
      </c>
      <c r="B70" s="9" t="s">
        <v>4</v>
      </c>
      <c r="C70" s="9"/>
      <c r="D70" s="14" t="s">
        <v>113</v>
      </c>
      <c r="E70" s="14" t="s">
        <v>115</v>
      </c>
      <c r="F70" s="14">
        <v>196</v>
      </c>
      <c r="G70" s="14">
        <v>17780540</v>
      </c>
      <c r="H70" s="18" t="s">
        <v>1039</v>
      </c>
      <c r="I70" s="14" t="s">
        <v>742</v>
      </c>
      <c r="J70" s="14">
        <v>39684134</v>
      </c>
      <c r="K70" s="14"/>
      <c r="L70" s="14" t="s">
        <v>743</v>
      </c>
      <c r="M70" s="14">
        <v>39673887</v>
      </c>
      <c r="N70" s="14" t="s">
        <v>1076</v>
      </c>
      <c r="O70" s="14">
        <v>33472368</v>
      </c>
      <c r="P70" s="14"/>
      <c r="Q70" s="14"/>
      <c r="R70" s="14">
        <v>175</v>
      </c>
      <c r="S70" s="14">
        <v>77</v>
      </c>
      <c r="T70" s="14">
        <v>721</v>
      </c>
      <c r="U70" s="14" t="s">
        <v>414</v>
      </c>
      <c r="V70" s="14" t="s">
        <v>485</v>
      </c>
      <c r="W70" s="14">
        <v>1989</v>
      </c>
      <c r="X70" s="17" t="s">
        <v>955</v>
      </c>
      <c r="Y70" s="14"/>
      <c r="Z70" s="14" t="s">
        <v>828</v>
      </c>
      <c r="AA70" s="14">
        <v>17</v>
      </c>
    </row>
    <row r="71" spans="1:27" ht="24.95" customHeight="1" x14ac:dyDescent="0.2">
      <c r="A71" s="6">
        <v>68</v>
      </c>
      <c r="B71" s="9" t="s">
        <v>60</v>
      </c>
      <c r="C71" s="9"/>
      <c r="D71" s="14" t="s">
        <v>113</v>
      </c>
      <c r="E71" s="14" t="s">
        <v>115</v>
      </c>
      <c r="F71" s="14">
        <v>75</v>
      </c>
      <c r="G71" s="14">
        <v>17773788</v>
      </c>
      <c r="H71" s="14" t="s">
        <v>467</v>
      </c>
      <c r="I71" s="14" t="s">
        <v>468</v>
      </c>
      <c r="J71" s="14">
        <v>34223318</v>
      </c>
      <c r="K71" s="14"/>
      <c r="L71" s="14" t="s">
        <v>468</v>
      </c>
      <c r="M71" s="14">
        <v>34223318</v>
      </c>
      <c r="N71" s="14" t="s">
        <v>468</v>
      </c>
      <c r="O71" s="14">
        <v>34223318</v>
      </c>
      <c r="P71" s="14" t="s">
        <v>469</v>
      </c>
      <c r="Q71" s="14">
        <v>17773788</v>
      </c>
      <c r="R71" s="14">
        <v>1716</v>
      </c>
      <c r="S71" s="14">
        <v>968</v>
      </c>
      <c r="T71" s="14">
        <v>909</v>
      </c>
      <c r="U71" s="14" t="s">
        <v>278</v>
      </c>
      <c r="V71" s="14" t="s">
        <v>487</v>
      </c>
      <c r="W71" s="14">
        <v>2008</v>
      </c>
      <c r="X71" s="17" t="s">
        <v>956</v>
      </c>
      <c r="Y71" s="14"/>
      <c r="Z71" s="14" t="s">
        <v>597</v>
      </c>
      <c r="AA71" s="14">
        <v>5</v>
      </c>
    </row>
    <row r="72" spans="1:27" ht="38.25" customHeight="1" x14ac:dyDescent="0.2">
      <c r="A72" s="6">
        <v>69</v>
      </c>
      <c r="B72" s="9" t="s">
        <v>99</v>
      </c>
      <c r="C72" s="9"/>
      <c r="D72" s="14" t="s">
        <v>113</v>
      </c>
      <c r="E72" s="14" t="s">
        <v>115</v>
      </c>
      <c r="F72" s="14">
        <v>89</v>
      </c>
      <c r="G72" s="14">
        <v>17404143</v>
      </c>
      <c r="H72" s="16" t="s">
        <v>728</v>
      </c>
      <c r="I72" s="14" t="s">
        <v>729</v>
      </c>
      <c r="J72" s="14">
        <v>33954351</v>
      </c>
      <c r="K72" s="14"/>
      <c r="L72" s="14" t="s">
        <v>729</v>
      </c>
      <c r="M72" s="14">
        <v>33954351</v>
      </c>
      <c r="N72" s="14" t="s">
        <v>729</v>
      </c>
      <c r="O72" s="14">
        <v>33954351</v>
      </c>
      <c r="P72" s="14" t="s">
        <v>729</v>
      </c>
      <c r="Q72" s="14">
        <v>33954351</v>
      </c>
      <c r="R72" s="14">
        <v>11</v>
      </c>
      <c r="S72" s="14">
        <v>62</v>
      </c>
      <c r="T72" s="14">
        <v>362</v>
      </c>
      <c r="U72" s="14" t="s">
        <v>787</v>
      </c>
      <c r="V72" s="14" t="s">
        <v>485</v>
      </c>
      <c r="W72" s="14">
        <v>2015</v>
      </c>
      <c r="X72" s="17" t="s">
        <v>957</v>
      </c>
      <c r="Y72" s="15"/>
      <c r="Z72" s="17" t="s">
        <v>829</v>
      </c>
      <c r="AA72" s="14">
        <v>6</v>
      </c>
    </row>
    <row r="73" spans="1:27" ht="24.95" customHeight="1" x14ac:dyDescent="0.15">
      <c r="A73" s="6">
        <v>70</v>
      </c>
      <c r="B73" s="9" t="s">
        <v>49</v>
      </c>
      <c r="C73" s="9"/>
      <c r="D73" s="14" t="s">
        <v>113</v>
      </c>
      <c r="E73" s="14" t="s">
        <v>115</v>
      </c>
      <c r="F73" s="14">
        <v>74</v>
      </c>
      <c r="G73" s="14">
        <v>17775257</v>
      </c>
      <c r="H73" s="16" t="s">
        <v>730</v>
      </c>
      <c r="I73" s="19" t="s">
        <v>731</v>
      </c>
      <c r="J73" s="19" t="s">
        <v>732</v>
      </c>
      <c r="K73" s="19"/>
      <c r="L73" s="14" t="s">
        <v>733</v>
      </c>
      <c r="M73" s="14">
        <v>39221405</v>
      </c>
      <c r="N73" s="14" t="s">
        <v>733</v>
      </c>
      <c r="O73" s="14">
        <v>39221405</v>
      </c>
      <c r="P73" s="14"/>
      <c r="Q73" s="14"/>
      <c r="R73" s="14">
        <v>12</v>
      </c>
      <c r="S73" s="14">
        <v>2505</v>
      </c>
      <c r="T73" s="14">
        <v>925</v>
      </c>
      <c r="U73" s="14" t="s">
        <v>189</v>
      </c>
      <c r="V73" s="14" t="s">
        <v>487</v>
      </c>
      <c r="W73" s="14">
        <v>2005</v>
      </c>
      <c r="X73" s="17" t="s">
        <v>958</v>
      </c>
      <c r="Y73" s="14"/>
      <c r="Z73" s="14" t="s">
        <v>830</v>
      </c>
      <c r="AA73" s="14"/>
    </row>
    <row r="74" spans="1:27" ht="24.75" customHeight="1" x14ac:dyDescent="0.2">
      <c r="A74" s="6">
        <v>71</v>
      </c>
      <c r="B74" s="9" t="s">
        <v>23</v>
      </c>
      <c r="C74" s="9"/>
      <c r="D74" s="14" t="s">
        <v>113</v>
      </c>
      <c r="E74" s="14" t="s">
        <v>115</v>
      </c>
      <c r="F74" s="14">
        <v>89</v>
      </c>
      <c r="G74" s="14">
        <v>17779617</v>
      </c>
      <c r="H74" s="16" t="s">
        <v>275</v>
      </c>
      <c r="I74" s="14" t="s">
        <v>276</v>
      </c>
      <c r="J74" s="14">
        <v>39406322</v>
      </c>
      <c r="K74" s="14"/>
      <c r="L74" s="14" t="s">
        <v>276</v>
      </c>
      <c r="M74" s="14">
        <v>39406322</v>
      </c>
      <c r="N74" s="14" t="s">
        <v>276</v>
      </c>
      <c r="O74" s="14">
        <v>39406322</v>
      </c>
      <c r="P74" s="14" t="s">
        <v>277</v>
      </c>
      <c r="Q74" s="14">
        <v>36621232</v>
      </c>
      <c r="R74" s="14">
        <v>1963</v>
      </c>
      <c r="S74" s="14">
        <v>731</v>
      </c>
      <c r="T74" s="14">
        <v>907</v>
      </c>
      <c r="U74" s="14" t="s">
        <v>278</v>
      </c>
      <c r="V74" s="14" t="s">
        <v>487</v>
      </c>
      <c r="W74" s="14">
        <v>1997</v>
      </c>
      <c r="X74" s="17" t="s">
        <v>959</v>
      </c>
      <c r="Y74" s="15"/>
      <c r="Z74" s="14" t="s">
        <v>598</v>
      </c>
      <c r="AA74" s="14">
        <v>6</v>
      </c>
    </row>
    <row r="75" spans="1:27" ht="24.75" customHeight="1" x14ac:dyDescent="0.2">
      <c r="A75" s="6">
        <v>72</v>
      </c>
      <c r="B75" s="9" t="s">
        <v>85</v>
      </c>
      <c r="C75" s="9"/>
      <c r="D75" s="14" t="s">
        <v>113</v>
      </c>
      <c r="E75" s="14" t="s">
        <v>115</v>
      </c>
      <c r="F75" s="14">
        <v>150</v>
      </c>
      <c r="G75" s="14" t="s">
        <v>279</v>
      </c>
      <c r="H75" s="16" t="s">
        <v>280</v>
      </c>
      <c r="I75" s="14" t="s">
        <v>282</v>
      </c>
      <c r="J75" s="14">
        <v>36558255</v>
      </c>
      <c r="K75" s="14"/>
      <c r="L75" s="14" t="s">
        <v>282</v>
      </c>
      <c r="M75" s="14">
        <v>36558255</v>
      </c>
      <c r="N75" s="14" t="s">
        <v>282</v>
      </c>
      <c r="O75" s="14">
        <v>36558255</v>
      </c>
      <c r="P75" s="14" t="s">
        <v>282</v>
      </c>
      <c r="Q75" s="14">
        <v>36558255</v>
      </c>
      <c r="R75" s="14">
        <v>1308</v>
      </c>
      <c r="S75" s="14">
        <v>1320</v>
      </c>
      <c r="T75" s="14">
        <v>113</v>
      </c>
      <c r="U75" s="14" t="s">
        <v>281</v>
      </c>
      <c r="V75" s="14" t="s">
        <v>484</v>
      </c>
      <c r="W75" s="14">
        <v>2019</v>
      </c>
      <c r="X75" s="17" t="s">
        <v>960</v>
      </c>
      <c r="Y75" s="14"/>
      <c r="Z75" s="14" t="s">
        <v>831</v>
      </c>
      <c r="AA75" s="14">
        <v>8</v>
      </c>
    </row>
    <row r="76" spans="1:27" ht="24.95" customHeight="1" x14ac:dyDescent="0.2">
      <c r="A76" s="6">
        <v>73</v>
      </c>
      <c r="B76" s="9" t="s">
        <v>82</v>
      </c>
      <c r="C76" s="9"/>
      <c r="D76" s="14" t="s">
        <v>113</v>
      </c>
      <c r="E76" s="14" t="s">
        <v>115</v>
      </c>
      <c r="F76" s="14">
        <v>152</v>
      </c>
      <c r="G76" s="14" t="s">
        <v>284</v>
      </c>
      <c r="H76" s="16" t="s">
        <v>285</v>
      </c>
      <c r="I76" s="14" t="s">
        <v>286</v>
      </c>
      <c r="J76" s="14">
        <v>33802290</v>
      </c>
      <c r="K76" s="14"/>
      <c r="L76" s="14" t="s">
        <v>286</v>
      </c>
      <c r="M76" s="14">
        <v>33802290</v>
      </c>
      <c r="N76" s="14" t="s">
        <v>286</v>
      </c>
      <c r="O76" s="14">
        <v>33802290</v>
      </c>
      <c r="P76" s="14" t="s">
        <v>287</v>
      </c>
      <c r="Q76" s="14">
        <v>39998987</v>
      </c>
      <c r="R76" s="14">
        <v>3035</v>
      </c>
      <c r="S76" s="14">
        <v>3871</v>
      </c>
      <c r="T76" s="14">
        <v>1038</v>
      </c>
      <c r="U76" s="14" t="s">
        <v>288</v>
      </c>
      <c r="V76" s="14" t="s">
        <v>486</v>
      </c>
      <c r="W76" s="14">
        <v>2008</v>
      </c>
      <c r="X76" s="17" t="s">
        <v>961</v>
      </c>
      <c r="Y76" s="15"/>
      <c r="Z76" s="14" t="s">
        <v>283</v>
      </c>
      <c r="AA76" s="14">
        <v>10</v>
      </c>
    </row>
    <row r="77" spans="1:27" ht="36.75" customHeight="1" x14ac:dyDescent="0.15">
      <c r="A77" s="6">
        <v>74</v>
      </c>
      <c r="B77" s="9" t="s">
        <v>52</v>
      </c>
      <c r="C77" s="9"/>
      <c r="D77" s="14" t="s">
        <v>113</v>
      </c>
      <c r="E77" s="14" t="s">
        <v>115</v>
      </c>
      <c r="F77" s="14">
        <v>151</v>
      </c>
      <c r="G77" s="14">
        <v>17601009</v>
      </c>
      <c r="H77" s="16" t="s">
        <v>738</v>
      </c>
      <c r="I77" s="19" t="s">
        <v>735</v>
      </c>
      <c r="J77" s="19" t="s">
        <v>736</v>
      </c>
      <c r="K77" s="19"/>
      <c r="L77" s="14" t="s">
        <v>737</v>
      </c>
      <c r="M77" s="14">
        <v>33888013</v>
      </c>
      <c r="N77" s="14" t="s">
        <v>737</v>
      </c>
      <c r="O77" s="14">
        <v>33888013</v>
      </c>
      <c r="P77" s="14"/>
      <c r="Q77" s="14"/>
      <c r="R77" s="14">
        <v>2376</v>
      </c>
      <c r="S77" s="14">
        <v>2569</v>
      </c>
      <c r="T77" s="14">
        <v>1025</v>
      </c>
      <c r="U77" s="14" t="s">
        <v>734</v>
      </c>
      <c r="V77" s="14" t="s">
        <v>486</v>
      </c>
      <c r="W77" s="14">
        <v>2006</v>
      </c>
      <c r="X77" s="17" t="s">
        <v>962</v>
      </c>
      <c r="Y77" s="14"/>
      <c r="Z77" s="14" t="s">
        <v>832</v>
      </c>
      <c r="AA77" s="14"/>
    </row>
    <row r="78" spans="1:27" ht="24.95" customHeight="1" x14ac:dyDescent="0.2">
      <c r="A78" s="6">
        <v>75</v>
      </c>
      <c r="B78" s="9" t="s">
        <v>42</v>
      </c>
      <c r="C78" s="9"/>
      <c r="D78" s="14" t="s">
        <v>113</v>
      </c>
      <c r="E78" s="14" t="s">
        <v>115</v>
      </c>
      <c r="F78" s="14">
        <v>433</v>
      </c>
      <c r="G78" s="14">
        <v>17736192</v>
      </c>
      <c r="H78" s="16" t="s">
        <v>696</v>
      </c>
      <c r="I78" s="14" t="s">
        <v>1074</v>
      </c>
      <c r="J78" s="14">
        <v>37760073</v>
      </c>
      <c r="K78" s="14"/>
      <c r="L78" s="14" t="s">
        <v>698</v>
      </c>
      <c r="M78" s="14" t="s">
        <v>1056</v>
      </c>
      <c r="N78" s="14" t="s">
        <v>697</v>
      </c>
      <c r="O78" s="14">
        <v>37760073</v>
      </c>
      <c r="P78" s="14" t="s">
        <v>697</v>
      </c>
      <c r="Q78" s="14">
        <v>37760073</v>
      </c>
      <c r="R78" s="14">
        <v>3558</v>
      </c>
      <c r="S78" s="14">
        <v>649</v>
      </c>
      <c r="T78" s="14">
        <v>606</v>
      </c>
      <c r="U78" s="14" t="s">
        <v>635</v>
      </c>
      <c r="V78" s="14" t="s">
        <v>485</v>
      </c>
      <c r="W78" s="14">
        <v>2003</v>
      </c>
      <c r="X78" s="17" t="s">
        <v>963</v>
      </c>
      <c r="Y78" s="14"/>
      <c r="Z78" s="14" t="s">
        <v>833</v>
      </c>
      <c r="AA78" s="14">
        <v>13</v>
      </c>
    </row>
    <row r="79" spans="1:27" ht="34.5" customHeight="1" x14ac:dyDescent="0.2">
      <c r="A79" s="6">
        <v>76</v>
      </c>
      <c r="B79" s="9" t="s">
        <v>44</v>
      </c>
      <c r="C79" s="9"/>
      <c r="D79" s="14" t="s">
        <v>113</v>
      </c>
      <c r="E79" s="14" t="s">
        <v>115</v>
      </c>
      <c r="F79" s="14">
        <v>90</v>
      </c>
      <c r="G79" s="14">
        <v>17680599</v>
      </c>
      <c r="H79" s="18" t="s">
        <v>1044</v>
      </c>
      <c r="I79" s="14" t="s">
        <v>599</v>
      </c>
      <c r="J79" s="14">
        <v>39206674</v>
      </c>
      <c r="K79" s="14"/>
      <c r="L79" s="14" t="s">
        <v>599</v>
      </c>
      <c r="M79" s="14">
        <v>39206674</v>
      </c>
      <c r="N79" s="14" t="s">
        <v>599</v>
      </c>
      <c r="O79" s="14">
        <v>39206674</v>
      </c>
      <c r="P79" s="14" t="s">
        <v>599</v>
      </c>
      <c r="Q79" s="14">
        <v>39206674</v>
      </c>
      <c r="R79" s="14">
        <v>1919</v>
      </c>
      <c r="S79" s="14">
        <v>2954</v>
      </c>
      <c r="T79" s="14">
        <v>729</v>
      </c>
      <c r="U79" s="14" t="s">
        <v>595</v>
      </c>
      <c r="V79" s="14" t="s">
        <v>485</v>
      </c>
      <c r="W79" s="14">
        <v>2004</v>
      </c>
      <c r="X79" s="17" t="s">
        <v>964</v>
      </c>
      <c r="Y79" s="15"/>
      <c r="Z79" s="14" t="s">
        <v>600</v>
      </c>
      <c r="AA79" s="14">
        <v>10</v>
      </c>
    </row>
    <row r="80" spans="1:27" ht="24.95" customHeight="1" x14ac:dyDescent="0.2">
      <c r="A80" s="6">
        <v>77</v>
      </c>
      <c r="B80" s="9" t="s">
        <v>59</v>
      </c>
      <c r="C80" s="9"/>
      <c r="D80" s="14" t="s">
        <v>113</v>
      </c>
      <c r="E80" s="14" t="s">
        <v>115</v>
      </c>
      <c r="F80" s="14">
        <v>81</v>
      </c>
      <c r="G80" s="14">
        <v>17720527</v>
      </c>
      <c r="H80" s="14" t="s">
        <v>457</v>
      </c>
      <c r="I80" s="14" t="s">
        <v>458</v>
      </c>
      <c r="J80" s="14">
        <v>39536303</v>
      </c>
      <c r="K80" s="14"/>
      <c r="L80" s="14" t="s">
        <v>458</v>
      </c>
      <c r="M80" s="14">
        <v>39536303</v>
      </c>
      <c r="N80" s="14" t="s">
        <v>458</v>
      </c>
      <c r="O80" s="14" t="s">
        <v>459</v>
      </c>
      <c r="P80" s="14" t="s">
        <v>460</v>
      </c>
      <c r="Q80" s="14" t="s">
        <v>461</v>
      </c>
      <c r="R80" s="14">
        <v>871</v>
      </c>
      <c r="S80" s="14">
        <v>3218</v>
      </c>
      <c r="T80" s="14">
        <v>332</v>
      </c>
      <c r="U80" s="14" t="s">
        <v>462</v>
      </c>
      <c r="V80" s="14" t="s">
        <v>485</v>
      </c>
      <c r="W80" s="14">
        <v>2008</v>
      </c>
      <c r="X80" s="17" t="s">
        <v>965</v>
      </c>
      <c r="Y80" s="15"/>
      <c r="Z80" s="14" t="s">
        <v>601</v>
      </c>
      <c r="AA80" s="14">
        <v>6</v>
      </c>
    </row>
    <row r="81" spans="1:27" ht="40.5" customHeight="1" x14ac:dyDescent="0.15">
      <c r="A81" s="6">
        <v>78</v>
      </c>
      <c r="B81" s="9" t="s">
        <v>18</v>
      </c>
      <c r="C81" s="9"/>
      <c r="D81" s="14" t="s">
        <v>113</v>
      </c>
      <c r="E81" s="14" t="s">
        <v>115</v>
      </c>
      <c r="F81" s="14">
        <v>164</v>
      </c>
      <c r="G81" s="14" t="s">
        <v>289</v>
      </c>
      <c r="H81" s="19" t="s">
        <v>1038</v>
      </c>
      <c r="I81" s="14" t="s">
        <v>290</v>
      </c>
      <c r="J81" s="14">
        <v>39443373</v>
      </c>
      <c r="K81" s="14"/>
      <c r="L81" s="14" t="s">
        <v>291</v>
      </c>
      <c r="M81" s="14">
        <v>37707999</v>
      </c>
      <c r="N81" s="14" t="s">
        <v>291</v>
      </c>
      <c r="O81" s="14">
        <v>37707999</v>
      </c>
      <c r="P81" s="14" t="s">
        <v>292</v>
      </c>
      <c r="Q81" s="14">
        <v>33233445</v>
      </c>
      <c r="R81" s="14">
        <v>37</v>
      </c>
      <c r="S81" s="14">
        <v>1002</v>
      </c>
      <c r="T81" s="14">
        <v>110</v>
      </c>
      <c r="U81" s="14" t="s">
        <v>281</v>
      </c>
      <c r="V81" s="14" t="s">
        <v>484</v>
      </c>
      <c r="W81" s="14">
        <v>2019</v>
      </c>
      <c r="X81" s="17" t="s">
        <v>966</v>
      </c>
      <c r="Y81" s="14"/>
      <c r="Z81" s="14" t="s">
        <v>602</v>
      </c>
      <c r="AA81" s="14">
        <v>10</v>
      </c>
    </row>
    <row r="82" spans="1:27" ht="24.95" customHeight="1" x14ac:dyDescent="0.2">
      <c r="A82" s="6">
        <v>79</v>
      </c>
      <c r="B82" s="9" t="s">
        <v>886</v>
      </c>
      <c r="C82" s="9"/>
      <c r="D82" s="14" t="s">
        <v>112</v>
      </c>
      <c r="E82" s="14" t="s">
        <v>115</v>
      </c>
      <c r="F82" s="14">
        <v>124</v>
      </c>
      <c r="G82" s="14">
        <v>17006162</v>
      </c>
      <c r="H82" s="16" t="s">
        <v>293</v>
      </c>
      <c r="I82" s="14" t="s">
        <v>805</v>
      </c>
      <c r="J82" s="14">
        <v>39293477</v>
      </c>
      <c r="K82" s="14"/>
      <c r="L82" s="14" t="s">
        <v>294</v>
      </c>
      <c r="M82" s="14">
        <v>39293477</v>
      </c>
      <c r="N82" s="14" t="s">
        <v>294</v>
      </c>
      <c r="O82" s="14">
        <v>39293477</v>
      </c>
      <c r="P82" s="14" t="s">
        <v>294</v>
      </c>
      <c r="Q82" s="14">
        <v>39293477</v>
      </c>
      <c r="R82" s="14">
        <v>724</v>
      </c>
      <c r="S82" s="14">
        <v>1725</v>
      </c>
      <c r="T82" s="14">
        <v>517</v>
      </c>
      <c r="U82" s="14" t="s">
        <v>295</v>
      </c>
      <c r="V82" s="14" t="s">
        <v>486</v>
      </c>
      <c r="W82" s="14">
        <v>2018</v>
      </c>
      <c r="X82" s="17" t="s">
        <v>967</v>
      </c>
      <c r="Y82" s="15"/>
      <c r="Z82" s="14" t="s">
        <v>881</v>
      </c>
      <c r="AA82" s="14">
        <v>7</v>
      </c>
    </row>
    <row r="83" spans="1:27" ht="34.5" customHeight="1" x14ac:dyDescent="0.2">
      <c r="A83" s="6">
        <v>80</v>
      </c>
      <c r="B83" s="9" t="s">
        <v>107</v>
      </c>
      <c r="C83" s="9"/>
      <c r="D83" s="14" t="s">
        <v>113</v>
      </c>
      <c r="E83" s="14" t="s">
        <v>115</v>
      </c>
      <c r="F83" s="14">
        <v>235</v>
      </c>
      <c r="G83" s="14" t="s">
        <v>741</v>
      </c>
      <c r="H83" s="16" t="s">
        <v>739</v>
      </c>
      <c r="I83" s="14" t="s">
        <v>1096</v>
      </c>
      <c r="J83" s="49">
        <v>39689000</v>
      </c>
      <c r="K83" s="14"/>
      <c r="L83" s="14" t="s">
        <v>740</v>
      </c>
      <c r="M83" s="14">
        <v>33023308</v>
      </c>
      <c r="N83" s="14" t="s">
        <v>740</v>
      </c>
      <c r="O83" s="14">
        <v>33023308</v>
      </c>
      <c r="P83" s="14" t="s">
        <v>198</v>
      </c>
      <c r="Q83" s="14"/>
      <c r="R83" s="14">
        <v>20</v>
      </c>
      <c r="S83" s="14">
        <v>25</v>
      </c>
      <c r="T83" s="14">
        <v>425</v>
      </c>
      <c r="U83" s="14" t="s">
        <v>408</v>
      </c>
      <c r="V83" s="14" t="s">
        <v>485</v>
      </c>
      <c r="W83" s="14">
        <v>2003</v>
      </c>
      <c r="X83" s="17" t="s">
        <v>968</v>
      </c>
      <c r="Y83" s="14"/>
      <c r="Z83" s="14" t="s">
        <v>834</v>
      </c>
      <c r="AA83" s="14"/>
    </row>
    <row r="84" spans="1:27" ht="24.95" customHeight="1" x14ac:dyDescent="0.2">
      <c r="A84" s="6">
        <v>81</v>
      </c>
      <c r="B84" s="9" t="s">
        <v>121</v>
      </c>
      <c r="C84" s="9"/>
      <c r="D84" s="14" t="s">
        <v>113</v>
      </c>
      <c r="E84" s="14" t="s">
        <v>115</v>
      </c>
      <c r="F84" s="14">
        <v>240</v>
      </c>
      <c r="G84" s="14">
        <v>17595960</v>
      </c>
      <c r="H84" s="16" t="s">
        <v>296</v>
      </c>
      <c r="I84" s="14" t="s">
        <v>1119</v>
      </c>
      <c r="J84" s="14">
        <v>39445322</v>
      </c>
      <c r="K84" s="14"/>
      <c r="L84" s="14" t="s">
        <v>604</v>
      </c>
      <c r="M84" s="14">
        <v>33426049</v>
      </c>
      <c r="N84" s="14" t="s">
        <v>297</v>
      </c>
      <c r="O84" s="14">
        <v>33328238</v>
      </c>
      <c r="P84" s="14" t="s">
        <v>297</v>
      </c>
      <c r="Q84" s="14">
        <v>33328238</v>
      </c>
      <c r="R84" s="14">
        <v>69</v>
      </c>
      <c r="S84" s="14">
        <v>64</v>
      </c>
      <c r="T84" s="14">
        <v>364</v>
      </c>
      <c r="U84" s="14" t="s">
        <v>298</v>
      </c>
      <c r="V84" s="14" t="s">
        <v>485</v>
      </c>
      <c r="W84" s="14">
        <v>2014</v>
      </c>
      <c r="X84" s="17" t="s">
        <v>969</v>
      </c>
      <c r="Y84" s="14"/>
      <c r="Z84" s="14" t="s">
        <v>603</v>
      </c>
      <c r="AA84" s="14">
        <v>14</v>
      </c>
    </row>
    <row r="85" spans="1:27" ht="24.95" customHeight="1" x14ac:dyDescent="0.2">
      <c r="A85" s="6">
        <v>82</v>
      </c>
      <c r="B85" s="9" t="s">
        <v>1</v>
      </c>
      <c r="C85" s="9"/>
      <c r="D85" s="14" t="s">
        <v>113</v>
      </c>
      <c r="E85" s="14" t="s">
        <v>115</v>
      </c>
      <c r="F85" s="14">
        <v>259</v>
      </c>
      <c r="G85" s="14">
        <v>33378458</v>
      </c>
      <c r="H85" s="16" t="s">
        <v>300</v>
      </c>
      <c r="I85" s="14" t="s">
        <v>301</v>
      </c>
      <c r="J85" s="14">
        <v>17689909</v>
      </c>
      <c r="K85" s="14"/>
      <c r="L85" s="14" t="s">
        <v>302</v>
      </c>
      <c r="M85" s="14">
        <v>39694019</v>
      </c>
      <c r="N85" s="14" t="s">
        <v>302</v>
      </c>
      <c r="O85" s="14">
        <v>39694019</v>
      </c>
      <c r="P85" s="14" t="s">
        <v>302</v>
      </c>
      <c r="Q85" s="14">
        <v>39694019</v>
      </c>
      <c r="R85" s="14">
        <v>574</v>
      </c>
      <c r="S85" s="14">
        <v>1412</v>
      </c>
      <c r="T85" s="14">
        <v>914</v>
      </c>
      <c r="U85" s="14" t="s">
        <v>278</v>
      </c>
      <c r="V85" s="14" t="s">
        <v>486</v>
      </c>
      <c r="W85" s="14">
        <v>1984</v>
      </c>
      <c r="X85" s="17" t="s">
        <v>299</v>
      </c>
      <c r="Y85" s="15"/>
      <c r="Z85" s="17" t="s">
        <v>855</v>
      </c>
      <c r="AA85" s="14">
        <v>13</v>
      </c>
    </row>
    <row r="86" spans="1:27" ht="24.95" customHeight="1" x14ac:dyDescent="0.2">
      <c r="A86" s="6">
        <v>83</v>
      </c>
      <c r="B86" s="9" t="s">
        <v>106</v>
      </c>
      <c r="C86" s="9"/>
      <c r="D86" s="14" t="s">
        <v>113</v>
      </c>
      <c r="E86" s="14" t="s">
        <v>115</v>
      </c>
      <c r="F86" s="14">
        <v>128</v>
      </c>
      <c r="G86" s="14" t="s">
        <v>764</v>
      </c>
      <c r="H86" s="16" t="s">
        <v>762</v>
      </c>
      <c r="I86" s="14" t="s">
        <v>763</v>
      </c>
      <c r="J86" s="14">
        <v>39460730</v>
      </c>
      <c r="K86" s="14"/>
      <c r="L86" s="14" t="s">
        <v>763</v>
      </c>
      <c r="M86" s="14">
        <v>39460730</v>
      </c>
      <c r="N86" s="14" t="s">
        <v>763</v>
      </c>
      <c r="O86" s="14">
        <v>39460730</v>
      </c>
      <c r="P86" s="14"/>
      <c r="Q86" s="14"/>
      <c r="R86" s="14">
        <v>582</v>
      </c>
      <c r="S86" s="14">
        <v>3212</v>
      </c>
      <c r="T86" s="14">
        <v>332</v>
      </c>
      <c r="U86" s="14" t="s">
        <v>765</v>
      </c>
      <c r="V86" s="14" t="s">
        <v>485</v>
      </c>
      <c r="W86" s="14">
        <v>1984</v>
      </c>
      <c r="X86" s="17" t="s">
        <v>970</v>
      </c>
      <c r="Y86" s="14"/>
      <c r="Z86" s="14" t="s">
        <v>835</v>
      </c>
      <c r="AA86" s="14"/>
    </row>
    <row r="87" spans="1:27" ht="24.95" customHeight="1" x14ac:dyDescent="0.2">
      <c r="A87" s="6">
        <v>84</v>
      </c>
      <c r="B87" s="9" t="s">
        <v>35</v>
      </c>
      <c r="C87" s="9"/>
      <c r="D87" s="14" t="s">
        <v>113</v>
      </c>
      <c r="E87" s="14" t="s">
        <v>115</v>
      </c>
      <c r="F87" s="14">
        <v>96</v>
      </c>
      <c r="G87" s="14">
        <v>34478178</v>
      </c>
      <c r="H87" s="16" t="s">
        <v>303</v>
      </c>
      <c r="I87" s="14" t="s">
        <v>304</v>
      </c>
      <c r="J87" s="14">
        <v>34478178</v>
      </c>
      <c r="K87" s="14"/>
      <c r="L87" s="14" t="s">
        <v>304</v>
      </c>
      <c r="M87" s="14">
        <v>34478178</v>
      </c>
      <c r="N87" s="14" t="s">
        <v>305</v>
      </c>
      <c r="O87" s="14">
        <v>36662868</v>
      </c>
      <c r="P87" s="14" t="s">
        <v>305</v>
      </c>
      <c r="Q87" s="14">
        <v>36662868</v>
      </c>
      <c r="R87" s="14">
        <v>490</v>
      </c>
      <c r="S87" s="14">
        <v>518</v>
      </c>
      <c r="T87" s="14">
        <v>705</v>
      </c>
      <c r="U87" s="14" t="s">
        <v>175</v>
      </c>
      <c r="V87" s="14" t="s">
        <v>487</v>
      </c>
      <c r="W87" s="14">
        <v>2002</v>
      </c>
      <c r="X87" s="17" t="s">
        <v>971</v>
      </c>
      <c r="Y87" s="14"/>
      <c r="Z87" s="14" t="s">
        <v>605</v>
      </c>
      <c r="AA87" s="14">
        <v>6</v>
      </c>
    </row>
    <row r="88" spans="1:27" ht="24.95" customHeight="1" x14ac:dyDescent="0.2">
      <c r="A88" s="6">
        <v>85</v>
      </c>
      <c r="B88" s="9" t="s">
        <v>13</v>
      </c>
      <c r="C88" s="9"/>
      <c r="D88" s="14" t="s">
        <v>113</v>
      </c>
      <c r="E88" s="14" t="s">
        <v>115</v>
      </c>
      <c r="F88" s="14">
        <v>330</v>
      </c>
      <c r="G88" s="14">
        <v>17676919</v>
      </c>
      <c r="H88" s="18" t="s">
        <v>880</v>
      </c>
      <c r="I88" s="14" t="s">
        <v>306</v>
      </c>
      <c r="J88" s="14">
        <v>39462005</v>
      </c>
      <c r="K88" s="14"/>
      <c r="L88" s="14" t="s">
        <v>1071</v>
      </c>
      <c r="M88" s="14">
        <v>39155779</v>
      </c>
      <c r="N88" s="14" t="s">
        <v>307</v>
      </c>
      <c r="O88" s="14">
        <v>39209834</v>
      </c>
      <c r="P88" s="14" t="s">
        <v>308</v>
      </c>
      <c r="Q88" s="14">
        <v>39211282</v>
      </c>
      <c r="R88" s="14">
        <v>69</v>
      </c>
      <c r="S88" s="14">
        <v>7</v>
      </c>
      <c r="T88" s="14">
        <v>227</v>
      </c>
      <c r="U88" s="14" t="s">
        <v>309</v>
      </c>
      <c r="V88" s="14" t="s">
        <v>484</v>
      </c>
      <c r="W88" s="14">
        <v>1996</v>
      </c>
      <c r="X88" s="17" t="s">
        <v>972</v>
      </c>
      <c r="Y88" s="14"/>
      <c r="Z88" s="14" t="s">
        <v>836</v>
      </c>
      <c r="AA88" s="14">
        <v>18</v>
      </c>
    </row>
    <row r="89" spans="1:27" ht="24.95" customHeight="1" x14ac:dyDescent="0.2">
      <c r="A89" s="6">
        <v>86</v>
      </c>
      <c r="B89" s="9" t="s">
        <v>26</v>
      </c>
      <c r="C89" s="9"/>
      <c r="D89" s="14" t="s">
        <v>113</v>
      </c>
      <c r="E89" s="14" t="s">
        <v>115</v>
      </c>
      <c r="F89" s="14">
        <v>173</v>
      </c>
      <c r="G89" s="14" t="s">
        <v>607</v>
      </c>
      <c r="H89" s="16" t="s">
        <v>608</v>
      </c>
      <c r="I89" s="14" t="s">
        <v>609</v>
      </c>
      <c r="J89" s="14">
        <v>39420119</v>
      </c>
      <c r="K89" s="14"/>
      <c r="L89" s="14" t="s">
        <v>610</v>
      </c>
      <c r="M89" s="14">
        <v>33233004</v>
      </c>
      <c r="N89" s="14" t="s">
        <v>606</v>
      </c>
      <c r="O89" s="14">
        <v>36477748</v>
      </c>
      <c r="P89" s="14" t="s">
        <v>606</v>
      </c>
      <c r="Q89" s="14">
        <v>36477748</v>
      </c>
      <c r="R89" s="14">
        <v>1382</v>
      </c>
      <c r="S89" s="14">
        <v>1730</v>
      </c>
      <c r="T89" s="14">
        <v>1017</v>
      </c>
      <c r="U89" s="14" t="s">
        <v>611</v>
      </c>
      <c r="V89" s="14" t="s">
        <v>486</v>
      </c>
      <c r="W89" s="14">
        <v>2017</v>
      </c>
      <c r="X89" s="17" t="s">
        <v>973</v>
      </c>
      <c r="Y89" s="14"/>
      <c r="Z89" s="14" t="s">
        <v>837</v>
      </c>
      <c r="AA89" s="14">
        <v>9</v>
      </c>
    </row>
    <row r="90" spans="1:27" ht="24.95" customHeight="1" x14ac:dyDescent="0.2">
      <c r="A90" s="6">
        <v>87</v>
      </c>
      <c r="B90" s="9" t="s">
        <v>0</v>
      </c>
      <c r="C90" s="9"/>
      <c r="D90" s="14" t="s">
        <v>113</v>
      </c>
      <c r="E90" s="14" t="s">
        <v>115</v>
      </c>
      <c r="F90" s="14">
        <v>180</v>
      </c>
      <c r="G90" s="14">
        <v>17781197</v>
      </c>
      <c r="H90" s="16" t="s">
        <v>310</v>
      </c>
      <c r="I90" s="14" t="s">
        <v>301</v>
      </c>
      <c r="J90" s="14">
        <v>17689909</v>
      </c>
      <c r="K90" s="14"/>
      <c r="L90" s="14" t="s">
        <v>311</v>
      </c>
      <c r="M90" s="14">
        <v>33900405</v>
      </c>
      <c r="N90" s="14" t="s">
        <v>311</v>
      </c>
      <c r="O90" s="14">
        <v>33900405</v>
      </c>
      <c r="P90" s="14" t="s">
        <v>312</v>
      </c>
      <c r="Q90" s="14">
        <v>33913220</v>
      </c>
      <c r="R90" s="14">
        <v>4203</v>
      </c>
      <c r="S90" s="14">
        <v>1209</v>
      </c>
      <c r="T90" s="14">
        <v>812</v>
      </c>
      <c r="U90" s="14" t="s">
        <v>0</v>
      </c>
      <c r="V90" s="14" t="s">
        <v>487</v>
      </c>
      <c r="W90" s="14">
        <v>1980</v>
      </c>
      <c r="X90" s="17" t="s">
        <v>974</v>
      </c>
      <c r="Y90" s="14"/>
      <c r="Z90" s="17" t="s">
        <v>855</v>
      </c>
      <c r="AA90" s="14">
        <v>9</v>
      </c>
    </row>
    <row r="91" spans="1:27" ht="24.95" customHeight="1" x14ac:dyDescent="0.2">
      <c r="A91" s="6">
        <v>88</v>
      </c>
      <c r="B91" s="9" t="s">
        <v>62</v>
      </c>
      <c r="C91" s="9"/>
      <c r="D91" s="14" t="s">
        <v>113</v>
      </c>
      <c r="E91" s="14" t="s">
        <v>115</v>
      </c>
      <c r="F91" s="14">
        <v>200</v>
      </c>
      <c r="G91" s="14">
        <v>17630010</v>
      </c>
      <c r="H91" s="18" t="s">
        <v>1107</v>
      </c>
      <c r="I91" s="14" t="s">
        <v>314</v>
      </c>
      <c r="J91" s="14">
        <v>39122544</v>
      </c>
      <c r="K91" s="14"/>
      <c r="L91" s="14" t="s">
        <v>314</v>
      </c>
      <c r="M91" s="14">
        <v>39122544</v>
      </c>
      <c r="N91" s="14" t="s">
        <v>315</v>
      </c>
      <c r="O91" s="14">
        <v>35344375</v>
      </c>
      <c r="P91" s="14" t="s">
        <v>315</v>
      </c>
      <c r="Q91" s="14">
        <v>35344375</v>
      </c>
      <c r="R91" s="14">
        <v>10</v>
      </c>
      <c r="S91" s="14" t="s">
        <v>316</v>
      </c>
      <c r="T91" s="14">
        <v>1034</v>
      </c>
      <c r="U91" s="14" t="s">
        <v>244</v>
      </c>
      <c r="V91" s="14" t="s">
        <v>486</v>
      </c>
      <c r="W91" s="14">
        <v>2015</v>
      </c>
      <c r="X91" s="17" t="s">
        <v>313</v>
      </c>
      <c r="Y91" s="14"/>
      <c r="Z91" s="14" t="s">
        <v>612</v>
      </c>
      <c r="AA91" s="14">
        <v>11</v>
      </c>
    </row>
    <row r="92" spans="1:27" ht="24.95" customHeight="1" x14ac:dyDescent="0.2">
      <c r="A92" s="6">
        <v>89</v>
      </c>
      <c r="B92" s="9" t="s">
        <v>73</v>
      </c>
      <c r="C92" s="9"/>
      <c r="D92" s="14" t="s">
        <v>113</v>
      </c>
      <c r="E92" s="14" t="s">
        <v>115</v>
      </c>
      <c r="F92" s="14">
        <v>182</v>
      </c>
      <c r="G92" s="14" t="s">
        <v>318</v>
      </c>
      <c r="H92" s="16" t="s">
        <v>319</v>
      </c>
      <c r="I92" s="14" t="s">
        <v>320</v>
      </c>
      <c r="J92" s="14">
        <v>39446457</v>
      </c>
      <c r="K92" s="14"/>
      <c r="L92" s="14" t="s">
        <v>320</v>
      </c>
      <c r="M92" s="14">
        <v>39446457</v>
      </c>
      <c r="N92" s="14" t="s">
        <v>320</v>
      </c>
      <c r="O92" s="14">
        <v>39446457</v>
      </c>
      <c r="P92" s="14" t="s">
        <v>321</v>
      </c>
      <c r="Q92" s="14">
        <v>33025062</v>
      </c>
      <c r="R92" s="14" t="s">
        <v>618</v>
      </c>
      <c r="S92" s="14">
        <v>2813</v>
      </c>
      <c r="T92" s="14">
        <v>228</v>
      </c>
      <c r="U92" s="14" t="s">
        <v>322</v>
      </c>
      <c r="V92" s="14" t="s">
        <v>484</v>
      </c>
      <c r="W92" s="14">
        <v>2016</v>
      </c>
      <c r="X92" s="17" t="s">
        <v>317</v>
      </c>
      <c r="Y92" s="14"/>
      <c r="Z92" s="14" t="s">
        <v>613</v>
      </c>
      <c r="AA92" s="14">
        <v>12</v>
      </c>
    </row>
    <row r="93" spans="1:27" ht="24.95" customHeight="1" x14ac:dyDescent="0.2">
      <c r="A93" s="6">
        <v>90</v>
      </c>
      <c r="B93" s="9" t="s">
        <v>70</v>
      </c>
      <c r="C93" s="9"/>
      <c r="D93" s="14" t="s">
        <v>113</v>
      </c>
      <c r="E93" s="14" t="s">
        <v>115</v>
      </c>
      <c r="F93" s="14">
        <v>187</v>
      </c>
      <c r="G93" s="14">
        <v>17763237</v>
      </c>
      <c r="H93" s="16" t="s">
        <v>615</v>
      </c>
      <c r="I93" s="14" t="s">
        <v>616</v>
      </c>
      <c r="J93" s="14" t="s">
        <v>1170</v>
      </c>
      <c r="K93" s="14"/>
      <c r="L93" s="14" t="s">
        <v>617</v>
      </c>
      <c r="M93" s="14">
        <v>39237210</v>
      </c>
      <c r="N93" s="14" t="s">
        <v>617</v>
      </c>
      <c r="O93" s="14">
        <v>39237210</v>
      </c>
      <c r="P93" s="14" t="s">
        <v>617</v>
      </c>
      <c r="Q93" s="14">
        <v>39237210</v>
      </c>
      <c r="R93" s="14">
        <v>67</v>
      </c>
      <c r="S93" s="14">
        <v>11</v>
      </c>
      <c r="T93" s="14">
        <v>112</v>
      </c>
      <c r="U93" s="23" t="s">
        <v>281</v>
      </c>
      <c r="V93" s="14" t="s">
        <v>484</v>
      </c>
      <c r="W93" s="14">
        <v>2016</v>
      </c>
      <c r="X93" s="17" t="s">
        <v>975</v>
      </c>
      <c r="Y93" s="15"/>
      <c r="Z93" s="14" t="s">
        <v>614</v>
      </c>
      <c r="AA93" s="14">
        <v>9</v>
      </c>
    </row>
    <row r="94" spans="1:27" ht="24.95" customHeight="1" x14ac:dyDescent="0.2">
      <c r="A94" s="6">
        <v>91</v>
      </c>
      <c r="B94" s="9" t="s">
        <v>620</v>
      </c>
      <c r="C94" s="9"/>
      <c r="D94" s="14" t="s">
        <v>113</v>
      </c>
      <c r="E94" s="14" t="s">
        <v>115</v>
      </c>
      <c r="F94" s="14">
        <v>137</v>
      </c>
      <c r="G94" s="14">
        <v>17776664</v>
      </c>
      <c r="H94" s="18" t="s">
        <v>806</v>
      </c>
      <c r="I94" s="14" t="s">
        <v>789</v>
      </c>
      <c r="J94" s="14">
        <v>32323535</v>
      </c>
      <c r="K94" s="14"/>
      <c r="L94" s="14" t="s">
        <v>622</v>
      </c>
      <c r="M94" s="14">
        <v>32333366</v>
      </c>
      <c r="N94" s="14" t="s">
        <v>622</v>
      </c>
      <c r="O94" s="14">
        <v>32333366</v>
      </c>
      <c r="P94" s="14" t="s">
        <v>622</v>
      </c>
      <c r="Q94" s="14">
        <v>32333366</v>
      </c>
      <c r="R94" s="14">
        <v>1959</v>
      </c>
      <c r="S94" s="14">
        <v>2861</v>
      </c>
      <c r="T94" s="14">
        <v>528</v>
      </c>
      <c r="U94" s="14" t="s">
        <v>619</v>
      </c>
      <c r="V94" s="14" t="s">
        <v>486</v>
      </c>
      <c r="W94" s="14">
        <v>2016</v>
      </c>
      <c r="X94" s="17" t="s">
        <v>976</v>
      </c>
      <c r="Y94" s="14"/>
      <c r="Z94" s="14" t="s">
        <v>621</v>
      </c>
      <c r="AA94" s="14">
        <v>7</v>
      </c>
    </row>
    <row r="95" spans="1:27" ht="24.95" customHeight="1" x14ac:dyDescent="0.2">
      <c r="A95" s="6">
        <v>92</v>
      </c>
      <c r="B95" s="9" t="s">
        <v>29</v>
      </c>
      <c r="C95" s="9"/>
      <c r="D95" s="14" t="s">
        <v>113</v>
      </c>
      <c r="E95" s="14" t="s">
        <v>115</v>
      </c>
      <c r="F95" s="14">
        <v>245</v>
      </c>
      <c r="G95" s="14">
        <v>17596050</v>
      </c>
      <c r="H95" s="18" t="s">
        <v>1041</v>
      </c>
      <c r="I95" s="14" t="s">
        <v>626</v>
      </c>
      <c r="J95" s="14">
        <v>33330253</v>
      </c>
      <c r="K95" s="14"/>
      <c r="L95" s="14" t="s">
        <v>627</v>
      </c>
      <c r="M95" s="14">
        <v>33982255</v>
      </c>
      <c r="N95" s="14" t="s">
        <v>627</v>
      </c>
      <c r="O95" s="14">
        <v>33982255</v>
      </c>
      <c r="P95" s="14" t="s">
        <v>623</v>
      </c>
      <c r="Q95" s="14" t="s">
        <v>624</v>
      </c>
      <c r="R95" s="14">
        <v>1763</v>
      </c>
      <c r="S95" s="14">
        <v>569</v>
      </c>
      <c r="T95" s="14">
        <v>505</v>
      </c>
      <c r="U95" s="14" t="s">
        <v>628</v>
      </c>
      <c r="V95" s="14" t="s">
        <v>486</v>
      </c>
      <c r="W95" s="14">
        <v>2000</v>
      </c>
      <c r="X95" s="17" t="s">
        <v>977</v>
      </c>
      <c r="Y95" s="14"/>
      <c r="Z95" s="14" t="s">
        <v>625</v>
      </c>
      <c r="AA95" s="14">
        <v>10</v>
      </c>
    </row>
    <row r="96" spans="1:27" ht="24.95" customHeight="1" x14ac:dyDescent="0.2">
      <c r="A96" s="6">
        <v>93</v>
      </c>
      <c r="B96" s="9" t="s">
        <v>46</v>
      </c>
      <c r="C96" s="9"/>
      <c r="D96" s="14" t="s">
        <v>113</v>
      </c>
      <c r="E96" s="14" t="s">
        <v>115</v>
      </c>
      <c r="F96" s="14">
        <v>173</v>
      </c>
      <c r="G96" s="14">
        <v>17643774</v>
      </c>
      <c r="H96" s="14" t="s">
        <v>323</v>
      </c>
      <c r="I96" s="14" t="s">
        <v>324</v>
      </c>
      <c r="J96" s="14">
        <v>33343411</v>
      </c>
      <c r="K96" s="14"/>
      <c r="L96" s="14" t="s">
        <v>324</v>
      </c>
      <c r="M96" s="14">
        <v>33343411</v>
      </c>
      <c r="N96" s="14" t="s">
        <v>325</v>
      </c>
      <c r="O96" s="14">
        <v>66606061</v>
      </c>
      <c r="P96" s="14" t="s">
        <v>325</v>
      </c>
      <c r="Q96" s="14">
        <v>66606061</v>
      </c>
      <c r="R96" s="14">
        <v>436</v>
      </c>
      <c r="S96" s="14">
        <v>1409</v>
      </c>
      <c r="T96" s="14">
        <v>714</v>
      </c>
      <c r="U96" s="14" t="s">
        <v>326</v>
      </c>
      <c r="V96" s="14" t="s">
        <v>487</v>
      </c>
      <c r="W96" s="14">
        <v>2004</v>
      </c>
      <c r="X96" s="17" t="s">
        <v>978</v>
      </c>
      <c r="Y96" s="14"/>
      <c r="Z96" s="14" t="s">
        <v>629</v>
      </c>
      <c r="AA96" s="14">
        <v>10</v>
      </c>
    </row>
    <row r="97" spans="1:27" ht="24.95" customHeight="1" x14ac:dyDescent="0.2">
      <c r="A97" s="6">
        <v>94</v>
      </c>
      <c r="B97" s="9" t="s">
        <v>72</v>
      </c>
      <c r="C97" s="9"/>
      <c r="D97" s="14" t="s">
        <v>113</v>
      </c>
      <c r="E97" s="14" t="s">
        <v>115</v>
      </c>
      <c r="F97" s="14">
        <v>134</v>
      </c>
      <c r="G97" s="14">
        <v>17422365</v>
      </c>
      <c r="H97" s="16" t="s">
        <v>327</v>
      </c>
      <c r="I97" s="14" t="s">
        <v>328</v>
      </c>
      <c r="J97" s="14">
        <v>33555656</v>
      </c>
      <c r="K97" s="14"/>
      <c r="L97" s="14" t="s">
        <v>329</v>
      </c>
      <c r="M97" s="14">
        <v>36969897</v>
      </c>
      <c r="N97" s="14" t="s">
        <v>329</v>
      </c>
      <c r="O97" s="14">
        <v>36969897</v>
      </c>
      <c r="P97" s="14" t="s">
        <v>330</v>
      </c>
      <c r="Q97" s="14">
        <v>36969897</v>
      </c>
      <c r="R97" s="14">
        <v>479</v>
      </c>
      <c r="S97" s="14">
        <v>909</v>
      </c>
      <c r="T97" s="14">
        <v>1209</v>
      </c>
      <c r="U97" s="14" t="s">
        <v>214</v>
      </c>
      <c r="V97" s="14" t="s">
        <v>486</v>
      </c>
      <c r="W97" s="14">
        <v>2009</v>
      </c>
      <c r="X97" s="17" t="s">
        <v>979</v>
      </c>
      <c r="Y97" s="14"/>
      <c r="Z97" s="14" t="s">
        <v>630</v>
      </c>
      <c r="AA97" s="14">
        <v>10</v>
      </c>
    </row>
    <row r="98" spans="1:27" ht="24.95" customHeight="1" x14ac:dyDescent="0.2">
      <c r="A98" s="6">
        <v>95</v>
      </c>
      <c r="B98" s="9" t="s">
        <v>88</v>
      </c>
      <c r="C98" s="9"/>
      <c r="D98" s="14" t="s">
        <v>113</v>
      </c>
      <c r="E98" s="14" t="s">
        <v>115</v>
      </c>
      <c r="F98" s="14">
        <v>101</v>
      </c>
      <c r="G98" s="14">
        <v>38388157</v>
      </c>
      <c r="H98" s="14" t="s">
        <v>464</v>
      </c>
      <c r="I98" s="14" t="s">
        <v>465</v>
      </c>
      <c r="J98" s="14">
        <v>33335887</v>
      </c>
      <c r="K98" s="14"/>
      <c r="L98" s="14" t="s">
        <v>465</v>
      </c>
      <c r="M98" s="14">
        <v>33335887</v>
      </c>
      <c r="N98" s="14" t="s">
        <v>465</v>
      </c>
      <c r="O98" s="14">
        <v>33335887</v>
      </c>
      <c r="P98" s="14" t="s">
        <v>466</v>
      </c>
      <c r="Q98" s="14">
        <v>33335887</v>
      </c>
      <c r="R98" s="14">
        <v>2165</v>
      </c>
      <c r="S98" s="14">
        <v>268</v>
      </c>
      <c r="T98" s="14">
        <v>602</v>
      </c>
      <c r="U98" s="14" t="s">
        <v>193</v>
      </c>
      <c r="V98" s="14" t="s">
        <v>485</v>
      </c>
      <c r="W98" s="14">
        <v>2020</v>
      </c>
      <c r="X98" s="17" t="s">
        <v>980</v>
      </c>
      <c r="Y98" s="15"/>
      <c r="Z98" s="14" t="s">
        <v>463</v>
      </c>
      <c r="AA98" s="14">
        <v>10</v>
      </c>
    </row>
    <row r="99" spans="1:27" ht="24.95" customHeight="1" x14ac:dyDescent="0.2">
      <c r="A99" s="6">
        <v>96</v>
      </c>
      <c r="B99" s="24" t="s">
        <v>2</v>
      </c>
      <c r="C99" s="24"/>
      <c r="D99" s="14" t="s">
        <v>113</v>
      </c>
      <c r="E99" s="14" t="s">
        <v>115</v>
      </c>
      <c r="F99" s="14">
        <v>247</v>
      </c>
      <c r="G99" s="14">
        <v>17670046</v>
      </c>
      <c r="H99" s="16" t="s">
        <v>331</v>
      </c>
      <c r="I99" s="14" t="s">
        <v>332</v>
      </c>
      <c r="J99" s="14">
        <v>17670133</v>
      </c>
      <c r="K99" s="14"/>
      <c r="L99" s="14" t="s">
        <v>333</v>
      </c>
      <c r="M99" s="14">
        <v>33661188</v>
      </c>
      <c r="N99" s="14" t="s">
        <v>333</v>
      </c>
      <c r="O99" s="14">
        <v>33661188</v>
      </c>
      <c r="P99" s="14" t="s">
        <v>333</v>
      </c>
      <c r="Q99" s="14">
        <v>33661188</v>
      </c>
      <c r="R99" s="14">
        <v>40</v>
      </c>
      <c r="S99" s="14" t="s">
        <v>334</v>
      </c>
      <c r="T99" s="14">
        <v>240</v>
      </c>
      <c r="U99" s="14" t="s">
        <v>172</v>
      </c>
      <c r="V99" s="14" t="s">
        <v>484</v>
      </c>
      <c r="W99" s="14">
        <v>1985</v>
      </c>
      <c r="X99" s="17" t="s">
        <v>981</v>
      </c>
      <c r="Y99" s="14"/>
      <c r="Z99" s="14" t="s">
        <v>856</v>
      </c>
      <c r="AA99" s="14">
        <v>8</v>
      </c>
    </row>
    <row r="100" spans="1:27" ht="24.75" customHeight="1" x14ac:dyDescent="0.2">
      <c r="A100" s="6">
        <v>97</v>
      </c>
      <c r="B100" s="9" t="s">
        <v>65</v>
      </c>
      <c r="C100" s="9"/>
      <c r="D100" s="14" t="s">
        <v>113</v>
      </c>
      <c r="E100" s="14" t="s">
        <v>115</v>
      </c>
      <c r="F100" s="14">
        <v>185</v>
      </c>
      <c r="G100" s="14">
        <v>17736548</v>
      </c>
      <c r="H100" s="18" t="s">
        <v>335</v>
      </c>
      <c r="I100" s="14" t="s">
        <v>336</v>
      </c>
      <c r="J100" s="14">
        <v>39240711</v>
      </c>
      <c r="K100" s="14"/>
      <c r="L100" s="14" t="s">
        <v>336</v>
      </c>
      <c r="M100" s="14">
        <v>39240711</v>
      </c>
      <c r="N100" s="14" t="s">
        <v>336</v>
      </c>
      <c r="O100" s="14">
        <v>39240711</v>
      </c>
      <c r="P100" s="14" t="s">
        <v>336</v>
      </c>
      <c r="Q100" s="14">
        <v>39240711</v>
      </c>
      <c r="R100" s="14">
        <v>2036</v>
      </c>
      <c r="S100" s="14">
        <v>627</v>
      </c>
      <c r="T100" s="14">
        <v>1206</v>
      </c>
      <c r="U100" s="14" t="s">
        <v>214</v>
      </c>
      <c r="V100" s="14" t="s">
        <v>486</v>
      </c>
      <c r="W100" s="14">
        <v>2008</v>
      </c>
      <c r="X100" s="17" t="s">
        <v>982</v>
      </c>
      <c r="Y100" s="14"/>
      <c r="Z100" s="14" t="s">
        <v>631</v>
      </c>
      <c r="AA100" s="14">
        <v>10</v>
      </c>
    </row>
    <row r="101" spans="1:27" ht="24.95" customHeight="1" x14ac:dyDescent="0.2">
      <c r="A101" s="6">
        <v>98</v>
      </c>
      <c r="B101" s="9" t="s">
        <v>56</v>
      </c>
      <c r="C101" s="9"/>
      <c r="D101" s="14" t="s">
        <v>113</v>
      </c>
      <c r="E101" s="14" t="s">
        <v>115</v>
      </c>
      <c r="F101" s="14">
        <v>92</v>
      </c>
      <c r="G101" s="14">
        <v>33306113</v>
      </c>
      <c r="H101" s="16" t="s">
        <v>634</v>
      </c>
      <c r="I101" s="14" t="s">
        <v>636</v>
      </c>
      <c r="J101" s="14">
        <v>33306113</v>
      </c>
      <c r="K101" s="14"/>
      <c r="L101" s="14" t="s">
        <v>636</v>
      </c>
      <c r="M101" s="14">
        <v>33306113</v>
      </c>
      <c r="N101" s="14" t="s">
        <v>636</v>
      </c>
      <c r="O101" s="14">
        <v>33306113</v>
      </c>
      <c r="P101" s="14" t="s">
        <v>632</v>
      </c>
      <c r="Q101" s="14">
        <v>33306113</v>
      </c>
      <c r="R101" s="14">
        <v>2870</v>
      </c>
      <c r="S101" s="14">
        <v>345</v>
      </c>
      <c r="T101" s="14">
        <v>603</v>
      </c>
      <c r="U101" s="14" t="s">
        <v>635</v>
      </c>
      <c r="V101" s="14" t="s">
        <v>485</v>
      </c>
      <c r="W101" s="14">
        <v>2006</v>
      </c>
      <c r="X101" s="17" t="s">
        <v>983</v>
      </c>
      <c r="Y101" s="14"/>
      <c r="Z101" s="14" t="s">
        <v>633</v>
      </c>
      <c r="AA101" s="14">
        <v>5</v>
      </c>
    </row>
    <row r="102" spans="1:27" ht="24.95" customHeight="1" x14ac:dyDescent="0.2">
      <c r="A102" s="6">
        <v>99</v>
      </c>
      <c r="B102" s="9" t="s">
        <v>100</v>
      </c>
      <c r="C102" s="9"/>
      <c r="D102" s="14" t="s">
        <v>113</v>
      </c>
      <c r="E102" s="14" t="s">
        <v>115</v>
      </c>
      <c r="F102" s="14">
        <v>174</v>
      </c>
      <c r="G102" s="14">
        <v>17410069</v>
      </c>
      <c r="H102" s="16" t="s">
        <v>744</v>
      </c>
      <c r="I102" s="14" t="s">
        <v>745</v>
      </c>
      <c r="J102" s="14">
        <v>33138654</v>
      </c>
      <c r="K102" s="14"/>
      <c r="L102" s="49" t="s">
        <v>1173</v>
      </c>
      <c r="M102" s="49">
        <v>36089924</v>
      </c>
      <c r="N102" s="14" t="s">
        <v>745</v>
      </c>
      <c r="O102" s="14">
        <v>33138654</v>
      </c>
      <c r="P102" s="14"/>
      <c r="Q102" s="14"/>
      <c r="R102" s="14">
        <v>3990</v>
      </c>
      <c r="S102" s="14">
        <v>564</v>
      </c>
      <c r="T102" s="14">
        <v>1205</v>
      </c>
      <c r="U102" s="14" t="s">
        <v>474</v>
      </c>
      <c r="V102" s="14" t="s">
        <v>486</v>
      </c>
      <c r="W102" s="14">
        <v>2021</v>
      </c>
      <c r="X102" s="17" t="s">
        <v>984</v>
      </c>
      <c r="Y102" s="14"/>
      <c r="Z102" s="14" t="s">
        <v>838</v>
      </c>
      <c r="AA102" s="14"/>
    </row>
    <row r="103" spans="1:27" ht="24.95" customHeight="1" x14ac:dyDescent="0.2">
      <c r="A103" s="6">
        <v>100</v>
      </c>
      <c r="B103" s="9" t="s">
        <v>101</v>
      </c>
      <c r="C103" s="9"/>
      <c r="D103" s="14" t="s">
        <v>113</v>
      </c>
      <c r="E103" s="14" t="s">
        <v>115</v>
      </c>
      <c r="F103" s="14">
        <v>160</v>
      </c>
      <c r="G103" s="14" t="s">
        <v>337</v>
      </c>
      <c r="H103" s="18" t="s">
        <v>1042</v>
      </c>
      <c r="I103" s="14" t="s">
        <v>338</v>
      </c>
      <c r="J103" s="14">
        <v>17262237</v>
      </c>
      <c r="K103" s="14"/>
      <c r="L103" s="14" t="s">
        <v>339</v>
      </c>
      <c r="M103" s="14">
        <v>39222686</v>
      </c>
      <c r="N103" s="14" t="s">
        <v>339</v>
      </c>
      <c r="O103" s="14">
        <v>39222686</v>
      </c>
      <c r="P103" s="14" t="s">
        <v>340</v>
      </c>
      <c r="Q103" s="14">
        <v>39222686</v>
      </c>
      <c r="R103" s="14">
        <v>255</v>
      </c>
      <c r="S103" s="14">
        <v>2508</v>
      </c>
      <c r="T103" s="14">
        <v>925</v>
      </c>
      <c r="U103" s="14" t="s">
        <v>278</v>
      </c>
      <c r="V103" s="14" t="s">
        <v>487</v>
      </c>
      <c r="W103" s="14">
        <v>1976</v>
      </c>
      <c r="X103" s="17" t="s">
        <v>985</v>
      </c>
      <c r="Y103" s="14"/>
      <c r="Z103" s="14" t="s">
        <v>637</v>
      </c>
      <c r="AA103" s="14">
        <v>8</v>
      </c>
    </row>
    <row r="104" spans="1:27" ht="24.95" customHeight="1" x14ac:dyDescent="0.2">
      <c r="A104" s="6">
        <v>101</v>
      </c>
      <c r="B104" s="9" t="s">
        <v>51</v>
      </c>
      <c r="C104" s="9"/>
      <c r="D104" s="14" t="s">
        <v>113</v>
      </c>
      <c r="E104" s="14" t="s">
        <v>115</v>
      </c>
      <c r="F104" s="14">
        <v>208</v>
      </c>
      <c r="G104" s="14">
        <v>17413233</v>
      </c>
      <c r="H104" s="16" t="s">
        <v>703</v>
      </c>
      <c r="I104" s="14" t="s">
        <v>704</v>
      </c>
      <c r="J104" s="14">
        <v>36352145</v>
      </c>
      <c r="K104" s="14"/>
      <c r="L104" s="14" t="s">
        <v>704</v>
      </c>
      <c r="M104" s="14">
        <v>36352145</v>
      </c>
      <c r="N104" s="14" t="s">
        <v>704</v>
      </c>
      <c r="O104" s="14">
        <v>36352145</v>
      </c>
      <c r="P104" s="14" t="s">
        <v>704</v>
      </c>
      <c r="Q104" s="14">
        <v>36352145</v>
      </c>
      <c r="R104" s="14">
        <v>2670</v>
      </c>
      <c r="S104" s="14">
        <v>444</v>
      </c>
      <c r="T104" s="14">
        <v>1204</v>
      </c>
      <c r="U104" s="14" t="s">
        <v>474</v>
      </c>
      <c r="V104" s="14" t="s">
        <v>486</v>
      </c>
      <c r="W104" s="14">
        <v>2006</v>
      </c>
      <c r="X104" s="17" t="s">
        <v>986</v>
      </c>
      <c r="Y104" s="14"/>
      <c r="Z104" s="14" t="s">
        <v>702</v>
      </c>
      <c r="AA104" s="14">
        <v>10</v>
      </c>
    </row>
    <row r="105" spans="1:27" ht="24.95" customHeight="1" x14ac:dyDescent="0.2">
      <c r="A105" s="6">
        <v>102</v>
      </c>
      <c r="B105" s="9" t="s">
        <v>55</v>
      </c>
      <c r="C105" s="9"/>
      <c r="D105" s="14" t="s">
        <v>113</v>
      </c>
      <c r="E105" s="14" t="s">
        <v>115</v>
      </c>
      <c r="F105" s="14">
        <v>151</v>
      </c>
      <c r="G105" s="14">
        <v>17580463</v>
      </c>
      <c r="H105" s="16" t="s">
        <v>640</v>
      </c>
      <c r="I105" s="14" t="s">
        <v>642</v>
      </c>
      <c r="J105" s="14">
        <v>39220844</v>
      </c>
      <c r="K105" s="14"/>
      <c r="L105" s="14" t="s">
        <v>641</v>
      </c>
      <c r="M105" s="14">
        <v>39310959</v>
      </c>
      <c r="N105" s="14" t="s">
        <v>641</v>
      </c>
      <c r="O105" s="14">
        <v>39310959</v>
      </c>
      <c r="P105" s="14" t="s">
        <v>641</v>
      </c>
      <c r="Q105" s="14">
        <v>39310959</v>
      </c>
      <c r="R105" s="14">
        <v>111</v>
      </c>
      <c r="S105" s="14">
        <v>3201</v>
      </c>
      <c r="T105" s="14">
        <v>432</v>
      </c>
      <c r="U105" s="14" t="s">
        <v>241</v>
      </c>
      <c r="V105" s="14" t="s">
        <v>485</v>
      </c>
      <c r="W105" s="14">
        <v>2006</v>
      </c>
      <c r="X105" s="17" t="s">
        <v>988</v>
      </c>
      <c r="Y105" s="14"/>
      <c r="Z105" s="14" t="s">
        <v>839</v>
      </c>
      <c r="AA105" s="14">
        <v>11</v>
      </c>
    </row>
    <row r="106" spans="1:27" ht="24.95" customHeight="1" x14ac:dyDescent="0.2">
      <c r="A106" s="6">
        <v>103</v>
      </c>
      <c r="B106" s="9" t="s">
        <v>7</v>
      </c>
      <c r="C106" s="9"/>
      <c r="D106" s="14" t="s">
        <v>113</v>
      </c>
      <c r="E106" s="14" t="s">
        <v>115</v>
      </c>
      <c r="F106" s="14">
        <v>151</v>
      </c>
      <c r="G106" s="14">
        <v>17335917</v>
      </c>
      <c r="H106" s="14" t="s">
        <v>343</v>
      </c>
      <c r="I106" s="14" t="s">
        <v>344</v>
      </c>
      <c r="J106" s="14">
        <v>36781877</v>
      </c>
      <c r="K106" s="14"/>
      <c r="L106" s="14" t="s">
        <v>344</v>
      </c>
      <c r="M106" s="14">
        <v>36781877</v>
      </c>
      <c r="N106" s="14" t="s">
        <v>344</v>
      </c>
      <c r="O106" s="14">
        <v>36781877</v>
      </c>
      <c r="P106" s="14" t="s">
        <v>344</v>
      </c>
      <c r="Q106" s="14"/>
      <c r="R106" s="14">
        <v>142</v>
      </c>
      <c r="S106" s="14" t="s">
        <v>345</v>
      </c>
      <c r="T106" s="14">
        <v>221</v>
      </c>
      <c r="U106" s="14" t="s">
        <v>346</v>
      </c>
      <c r="V106" s="14" t="s">
        <v>484</v>
      </c>
      <c r="W106" s="14">
        <v>1990</v>
      </c>
      <c r="X106" s="17" t="s">
        <v>990</v>
      </c>
      <c r="Y106" s="14"/>
      <c r="Z106" s="14" t="s">
        <v>643</v>
      </c>
      <c r="AA106" s="14">
        <v>13</v>
      </c>
    </row>
    <row r="107" spans="1:27" ht="24.75" customHeight="1" x14ac:dyDescent="0.2">
      <c r="A107" s="6">
        <v>104</v>
      </c>
      <c r="B107" s="9" t="s">
        <v>81</v>
      </c>
      <c r="C107" s="9"/>
      <c r="D107" s="14" t="s">
        <v>113</v>
      </c>
      <c r="E107" s="14" t="s">
        <v>115</v>
      </c>
      <c r="F107" s="14">
        <v>106</v>
      </c>
      <c r="G107" s="14" t="s">
        <v>475</v>
      </c>
      <c r="H107" s="14" t="s">
        <v>476</v>
      </c>
      <c r="I107" s="14" t="s">
        <v>477</v>
      </c>
      <c r="J107" s="14" t="s">
        <v>475</v>
      </c>
      <c r="K107" s="14"/>
      <c r="L107" s="14" t="s">
        <v>478</v>
      </c>
      <c r="M107" s="14" t="s">
        <v>1057</v>
      </c>
      <c r="N107" s="14" t="s">
        <v>477</v>
      </c>
      <c r="O107" s="14" t="s">
        <v>475</v>
      </c>
      <c r="P107" s="14" t="s">
        <v>478</v>
      </c>
      <c r="Q107" s="14">
        <v>17723153</v>
      </c>
      <c r="R107" s="14">
        <v>932</v>
      </c>
      <c r="S107" s="14">
        <v>4323</v>
      </c>
      <c r="T107" s="14">
        <v>243</v>
      </c>
      <c r="U107" s="14" t="s">
        <v>203</v>
      </c>
      <c r="V107" s="14" t="s">
        <v>484</v>
      </c>
      <c r="W107" s="14">
        <v>2019</v>
      </c>
      <c r="X107" s="17" t="s">
        <v>991</v>
      </c>
      <c r="Y107" s="14"/>
      <c r="Z107" s="14" t="s">
        <v>644</v>
      </c>
      <c r="AA107" s="14">
        <v>7</v>
      </c>
    </row>
    <row r="108" spans="1:27" ht="38.25" customHeight="1" x14ac:dyDescent="0.2">
      <c r="A108" s="6">
        <v>105</v>
      </c>
      <c r="B108" s="9" t="s">
        <v>102</v>
      </c>
      <c r="C108" s="9"/>
      <c r="D108" s="14" t="s">
        <v>113</v>
      </c>
      <c r="E108" s="14" t="s">
        <v>115</v>
      </c>
      <c r="F108" s="14">
        <v>53</v>
      </c>
      <c r="G108" s="14">
        <v>17331721</v>
      </c>
      <c r="H108" s="16" t="s">
        <v>347</v>
      </c>
      <c r="I108" s="14" t="s">
        <v>348</v>
      </c>
      <c r="J108" s="14">
        <v>17331721</v>
      </c>
      <c r="K108" s="14"/>
      <c r="L108" s="14" t="s">
        <v>348</v>
      </c>
      <c r="M108" s="14">
        <v>38006400</v>
      </c>
      <c r="N108" s="14" t="s">
        <v>349</v>
      </c>
      <c r="O108" s="14">
        <v>38006400</v>
      </c>
      <c r="P108" s="14" t="s">
        <v>349</v>
      </c>
      <c r="Q108" s="14">
        <v>38006400</v>
      </c>
      <c r="R108" s="14">
        <v>73</v>
      </c>
      <c r="S108" s="14">
        <v>1</v>
      </c>
      <c r="T108" s="14">
        <v>202</v>
      </c>
      <c r="U108" s="14" t="s">
        <v>197</v>
      </c>
      <c r="V108" s="14" t="s">
        <v>484</v>
      </c>
      <c r="W108" s="14">
        <v>1984</v>
      </c>
      <c r="X108" s="17" t="s">
        <v>992</v>
      </c>
      <c r="Y108" s="14"/>
      <c r="Z108" s="14" t="s">
        <v>645</v>
      </c>
      <c r="AA108" s="14">
        <v>7</v>
      </c>
    </row>
    <row r="109" spans="1:27" ht="24.95" customHeight="1" x14ac:dyDescent="0.2">
      <c r="A109" s="6">
        <v>106</v>
      </c>
      <c r="B109" s="9" t="s">
        <v>43</v>
      </c>
      <c r="C109" s="9"/>
      <c r="D109" s="14" t="s">
        <v>113</v>
      </c>
      <c r="E109" s="14" t="s">
        <v>115</v>
      </c>
      <c r="F109" s="14">
        <v>100</v>
      </c>
      <c r="G109" s="14">
        <v>17697859</v>
      </c>
      <c r="H109" s="16" t="s">
        <v>647</v>
      </c>
      <c r="I109" s="14" t="s">
        <v>648</v>
      </c>
      <c r="J109" s="14">
        <v>39199300</v>
      </c>
      <c r="K109" s="14"/>
      <c r="L109" s="14" t="s">
        <v>648</v>
      </c>
      <c r="M109" s="14">
        <v>39199300</v>
      </c>
      <c r="N109" s="14" t="s">
        <v>648</v>
      </c>
      <c r="O109" s="14">
        <v>39199300</v>
      </c>
      <c r="P109" s="14" t="s">
        <v>648</v>
      </c>
      <c r="Q109" s="14">
        <v>39199300</v>
      </c>
      <c r="R109" s="14">
        <v>1518</v>
      </c>
      <c r="S109" s="14">
        <v>4143</v>
      </c>
      <c r="T109" s="14">
        <v>541</v>
      </c>
      <c r="U109" s="14" t="s">
        <v>649</v>
      </c>
      <c r="V109" s="14" t="s">
        <v>486</v>
      </c>
      <c r="W109" s="14">
        <v>2003</v>
      </c>
      <c r="X109" s="17" t="s">
        <v>993</v>
      </c>
      <c r="Y109" s="21"/>
      <c r="Z109" s="14" t="s">
        <v>646</v>
      </c>
      <c r="AA109" s="14">
        <v>9</v>
      </c>
    </row>
    <row r="110" spans="1:27" ht="24.75" customHeight="1" x14ac:dyDescent="0.2">
      <c r="A110" s="6">
        <v>107</v>
      </c>
      <c r="B110" s="9" t="s">
        <v>103</v>
      </c>
      <c r="C110" s="9"/>
      <c r="D110" s="14" t="s">
        <v>113</v>
      </c>
      <c r="E110" s="14" t="s">
        <v>115</v>
      </c>
      <c r="F110" s="14">
        <v>106</v>
      </c>
      <c r="G110" s="14">
        <v>17826788</v>
      </c>
      <c r="H110" s="16" t="s">
        <v>748</v>
      </c>
      <c r="I110" s="14" t="s">
        <v>749</v>
      </c>
      <c r="J110" s="14">
        <v>36998000</v>
      </c>
      <c r="K110" s="14"/>
      <c r="L110" s="14" t="s">
        <v>1058</v>
      </c>
      <c r="M110" s="14">
        <v>38810073</v>
      </c>
      <c r="N110" s="14" t="s">
        <v>1058</v>
      </c>
      <c r="O110" s="14">
        <v>38810073</v>
      </c>
      <c r="P110" s="14"/>
      <c r="Q110" s="14"/>
      <c r="R110" s="14">
        <v>4062</v>
      </c>
      <c r="S110" s="14">
        <v>920</v>
      </c>
      <c r="T110" s="14">
        <v>809</v>
      </c>
      <c r="U110" s="14" t="s">
        <v>0</v>
      </c>
      <c r="V110" s="14" t="s">
        <v>487</v>
      </c>
      <c r="W110" s="14">
        <v>1993</v>
      </c>
      <c r="X110" s="17" t="s">
        <v>994</v>
      </c>
      <c r="Y110" s="14"/>
      <c r="Z110" s="14" t="s">
        <v>842</v>
      </c>
      <c r="AA110" s="14"/>
    </row>
    <row r="111" spans="1:27" ht="24.95" customHeight="1" x14ac:dyDescent="0.2">
      <c r="A111" s="6">
        <v>108</v>
      </c>
      <c r="B111" s="9" t="s">
        <v>123</v>
      </c>
      <c r="C111" s="9"/>
      <c r="D111" s="14" t="s">
        <v>112</v>
      </c>
      <c r="E111" s="14" t="s">
        <v>115</v>
      </c>
      <c r="F111" s="14">
        <v>106</v>
      </c>
      <c r="G111" s="14" t="s">
        <v>350</v>
      </c>
      <c r="H111" s="14" t="s">
        <v>351</v>
      </c>
      <c r="I111" s="14" t="s">
        <v>352</v>
      </c>
      <c r="J111" s="14">
        <v>32220723</v>
      </c>
      <c r="K111" s="14"/>
      <c r="L111" s="14" t="s">
        <v>352</v>
      </c>
      <c r="M111" s="14">
        <v>32220723</v>
      </c>
      <c r="N111" s="14" t="s">
        <v>353</v>
      </c>
      <c r="O111" s="14">
        <v>39224922</v>
      </c>
      <c r="P111" s="14" t="s">
        <v>352</v>
      </c>
      <c r="Q111" s="14">
        <v>32220723</v>
      </c>
      <c r="R111" s="14">
        <v>1460</v>
      </c>
      <c r="S111" s="14">
        <v>4341</v>
      </c>
      <c r="T111" s="14">
        <v>743</v>
      </c>
      <c r="U111" s="14" t="s">
        <v>354</v>
      </c>
      <c r="V111" s="14" t="s">
        <v>485</v>
      </c>
      <c r="W111" s="14">
        <v>2019</v>
      </c>
      <c r="X111" s="17" t="s">
        <v>995</v>
      </c>
      <c r="Y111" s="14"/>
      <c r="Z111" s="14" t="s">
        <v>650</v>
      </c>
      <c r="AA111" s="14">
        <v>7</v>
      </c>
    </row>
    <row r="112" spans="1:27" ht="24.95" customHeight="1" x14ac:dyDescent="0.2">
      <c r="A112" s="6">
        <v>109</v>
      </c>
      <c r="B112" s="9" t="s">
        <v>89</v>
      </c>
      <c r="C112" s="9"/>
      <c r="D112" s="14" t="s">
        <v>112</v>
      </c>
      <c r="E112" s="14" t="s">
        <v>115</v>
      </c>
      <c r="F112" s="14">
        <v>180</v>
      </c>
      <c r="G112" s="14">
        <v>38881448</v>
      </c>
      <c r="H112" s="16" t="s">
        <v>687</v>
      </c>
      <c r="I112" s="14" t="s">
        <v>688</v>
      </c>
      <c r="J112" s="14">
        <v>38881535</v>
      </c>
      <c r="K112" s="14"/>
      <c r="L112" s="14" t="s">
        <v>688</v>
      </c>
      <c r="M112" s="14">
        <v>38881535</v>
      </c>
      <c r="N112" s="14" t="s">
        <v>688</v>
      </c>
      <c r="O112" s="14">
        <v>38881535</v>
      </c>
      <c r="P112" s="14" t="s">
        <v>685</v>
      </c>
      <c r="Q112" s="14">
        <v>38881448</v>
      </c>
      <c r="R112" s="14" t="s">
        <v>1080</v>
      </c>
      <c r="S112" s="14">
        <v>45</v>
      </c>
      <c r="T112" s="14">
        <v>545</v>
      </c>
      <c r="U112" s="14" t="s">
        <v>382</v>
      </c>
      <c r="V112" s="14" t="s">
        <v>486</v>
      </c>
      <c r="W112" s="14">
        <v>2020</v>
      </c>
      <c r="X112" s="17" t="s">
        <v>996</v>
      </c>
      <c r="Y112" s="17"/>
      <c r="Z112" s="14" t="s">
        <v>686</v>
      </c>
      <c r="AA112" s="14">
        <v>10</v>
      </c>
    </row>
    <row r="113" spans="1:27" ht="39" customHeight="1" x14ac:dyDescent="0.15">
      <c r="A113" s="6">
        <v>110</v>
      </c>
      <c r="B113" s="9" t="s">
        <v>68</v>
      </c>
      <c r="C113" s="9"/>
      <c r="D113" s="14" t="s">
        <v>112</v>
      </c>
      <c r="E113" s="14" t="s">
        <v>115</v>
      </c>
      <c r="F113" s="14">
        <v>75</v>
      </c>
      <c r="G113" s="14">
        <v>17792010</v>
      </c>
      <c r="H113" s="18" t="s">
        <v>1073</v>
      </c>
      <c r="I113" s="19" t="s">
        <v>1133</v>
      </c>
      <c r="J113" s="14">
        <v>39453759</v>
      </c>
      <c r="K113" s="14"/>
      <c r="L113" s="14" t="s">
        <v>767</v>
      </c>
      <c r="M113" s="14">
        <v>38850102</v>
      </c>
      <c r="N113" s="14" t="s">
        <v>766</v>
      </c>
      <c r="O113" s="14">
        <v>38850102</v>
      </c>
      <c r="P113" s="14" t="s">
        <v>766</v>
      </c>
      <c r="Q113" s="14">
        <v>38850102</v>
      </c>
      <c r="R113" s="14">
        <v>14</v>
      </c>
      <c r="S113" s="14">
        <v>15</v>
      </c>
      <c r="T113" s="14">
        <v>533</v>
      </c>
      <c r="U113" s="14" t="s">
        <v>689</v>
      </c>
      <c r="V113" s="14" t="s">
        <v>486</v>
      </c>
      <c r="W113" s="14">
        <v>2009</v>
      </c>
      <c r="X113" s="17" t="s">
        <v>997</v>
      </c>
      <c r="Y113" s="21"/>
      <c r="Z113" s="14" t="s">
        <v>884</v>
      </c>
      <c r="AA113" s="14">
        <v>5</v>
      </c>
    </row>
    <row r="114" spans="1:27" ht="24.95" customHeight="1" x14ac:dyDescent="0.2">
      <c r="A114" s="6">
        <v>111</v>
      </c>
      <c r="B114" s="9" t="s">
        <v>108</v>
      </c>
      <c r="C114" s="9"/>
      <c r="D114" s="14" t="s">
        <v>112</v>
      </c>
      <c r="E114" s="14" t="s">
        <v>115</v>
      </c>
      <c r="F114" s="14">
        <v>134</v>
      </c>
      <c r="G114" s="14">
        <v>17668283</v>
      </c>
      <c r="H114" s="16" t="s">
        <v>658</v>
      </c>
      <c r="I114" s="14" t="s">
        <v>659</v>
      </c>
      <c r="J114" s="14">
        <v>32234440</v>
      </c>
      <c r="K114" s="14"/>
      <c r="L114" s="14" t="s">
        <v>660</v>
      </c>
      <c r="M114" s="14">
        <v>37779792</v>
      </c>
      <c r="N114" s="14" t="s">
        <v>660</v>
      </c>
      <c r="O114" s="14">
        <v>37779792</v>
      </c>
      <c r="P114" s="14" t="s">
        <v>655</v>
      </c>
      <c r="Q114" s="14">
        <v>34109006</v>
      </c>
      <c r="R114" s="14">
        <v>2957</v>
      </c>
      <c r="S114" s="14">
        <v>3475</v>
      </c>
      <c r="T114" s="14">
        <v>1034</v>
      </c>
      <c r="U114" s="14" t="s">
        <v>657</v>
      </c>
      <c r="V114" s="14" t="s">
        <v>486</v>
      </c>
      <c r="W114" s="14">
        <v>2020</v>
      </c>
      <c r="X114" s="17" t="s">
        <v>998</v>
      </c>
      <c r="Y114" s="14"/>
      <c r="Z114" s="14" t="s">
        <v>656</v>
      </c>
      <c r="AA114" s="14">
        <v>8</v>
      </c>
    </row>
    <row r="115" spans="1:27" ht="24.95" customHeight="1" x14ac:dyDescent="0.2">
      <c r="A115" s="6">
        <v>112</v>
      </c>
      <c r="B115" s="9" t="s">
        <v>109</v>
      </c>
      <c r="C115" s="9"/>
      <c r="D115" s="14" t="s">
        <v>113</v>
      </c>
      <c r="E115" s="14" t="s">
        <v>115</v>
      </c>
      <c r="F115" s="14">
        <v>120</v>
      </c>
      <c r="G115" s="14">
        <v>66700021</v>
      </c>
      <c r="H115" s="16" t="s">
        <v>752</v>
      </c>
      <c r="I115" s="14" t="s">
        <v>750</v>
      </c>
      <c r="J115" s="14">
        <v>33337770</v>
      </c>
      <c r="K115" s="14"/>
      <c r="L115" s="14" t="s">
        <v>1059</v>
      </c>
      <c r="M115" s="14">
        <v>36463117</v>
      </c>
      <c r="N115" s="14" t="s">
        <v>751</v>
      </c>
      <c r="O115" s="14">
        <v>36006048</v>
      </c>
      <c r="P115" s="14"/>
      <c r="Q115" s="14"/>
      <c r="R115" s="14">
        <v>1074</v>
      </c>
      <c r="S115" s="14">
        <v>6025</v>
      </c>
      <c r="T115" s="14">
        <v>960</v>
      </c>
      <c r="U115" s="14" t="s">
        <v>753</v>
      </c>
      <c r="V115" s="14" t="s">
        <v>487</v>
      </c>
      <c r="W115" s="14">
        <v>2020</v>
      </c>
      <c r="X115" s="17" t="s">
        <v>999</v>
      </c>
      <c r="Y115" s="14"/>
      <c r="Z115" s="14" t="s">
        <v>844</v>
      </c>
      <c r="AA115" s="14"/>
    </row>
    <row r="116" spans="1:27" ht="24.95" customHeight="1" x14ac:dyDescent="0.2">
      <c r="A116" s="6">
        <v>113</v>
      </c>
      <c r="B116" s="9" t="s">
        <v>122</v>
      </c>
      <c r="C116" s="9"/>
      <c r="D116" s="14" t="s">
        <v>112</v>
      </c>
      <c r="E116" s="14" t="s">
        <v>115</v>
      </c>
      <c r="F116" s="14">
        <v>151</v>
      </c>
      <c r="G116" s="14">
        <v>32323588</v>
      </c>
      <c r="H116" s="16" t="s">
        <v>355</v>
      </c>
      <c r="I116" s="14" t="s">
        <v>800</v>
      </c>
      <c r="J116" s="14">
        <v>36644115</v>
      </c>
      <c r="K116" s="14"/>
      <c r="L116" s="14" t="s">
        <v>800</v>
      </c>
      <c r="M116" s="14" t="s">
        <v>1060</v>
      </c>
      <c r="N116" s="14" t="s">
        <v>356</v>
      </c>
      <c r="O116" s="14">
        <v>32323588</v>
      </c>
      <c r="P116" s="14" t="s">
        <v>356</v>
      </c>
      <c r="Q116" s="14">
        <v>32323588</v>
      </c>
      <c r="R116" s="14">
        <v>2430</v>
      </c>
      <c r="S116" s="14">
        <v>5444</v>
      </c>
      <c r="T116" s="14">
        <v>254</v>
      </c>
      <c r="U116" s="14" t="s">
        <v>357</v>
      </c>
      <c r="V116" s="14" t="s">
        <v>484</v>
      </c>
      <c r="W116" s="14">
        <v>2020</v>
      </c>
      <c r="X116" s="17" t="s">
        <v>1000</v>
      </c>
      <c r="Y116" s="14"/>
      <c r="Z116" s="14" t="s">
        <v>661</v>
      </c>
      <c r="AA116" s="14">
        <v>8</v>
      </c>
    </row>
    <row r="117" spans="1:27" ht="24.95" customHeight="1" x14ac:dyDescent="0.2">
      <c r="A117" s="6">
        <v>114</v>
      </c>
      <c r="B117" s="9" t="s">
        <v>116</v>
      </c>
      <c r="C117" s="9"/>
      <c r="D117" s="14" t="s">
        <v>113</v>
      </c>
      <c r="E117" s="14" t="s">
        <v>115</v>
      </c>
      <c r="F117" s="14">
        <v>144</v>
      </c>
      <c r="G117" s="14" t="s">
        <v>662</v>
      </c>
      <c r="H117" s="14" t="s">
        <v>358</v>
      </c>
      <c r="I117" s="14" t="s">
        <v>1132</v>
      </c>
      <c r="J117" s="14">
        <v>33116118</v>
      </c>
      <c r="K117" s="14"/>
      <c r="L117" s="14" t="s">
        <v>359</v>
      </c>
      <c r="M117" s="14">
        <v>33311123</v>
      </c>
      <c r="N117" s="14" t="s">
        <v>359</v>
      </c>
      <c r="O117" s="14">
        <v>33311123</v>
      </c>
      <c r="P117" s="14" t="s">
        <v>360</v>
      </c>
      <c r="Q117" s="14">
        <v>66956161</v>
      </c>
      <c r="R117" s="14">
        <v>1125</v>
      </c>
      <c r="S117" s="14">
        <v>2934</v>
      </c>
      <c r="T117" s="14">
        <v>529</v>
      </c>
      <c r="U117" s="14" t="s">
        <v>361</v>
      </c>
      <c r="V117" s="14" t="s">
        <v>485</v>
      </c>
      <c r="W117" s="14">
        <v>2020</v>
      </c>
      <c r="X117" s="17" t="s">
        <v>1001</v>
      </c>
      <c r="Y117" s="14"/>
      <c r="Z117" s="14" t="s">
        <v>845</v>
      </c>
      <c r="AA117" s="14">
        <v>6</v>
      </c>
    </row>
    <row r="118" spans="1:27" ht="53.25" customHeight="1" x14ac:dyDescent="0.15">
      <c r="A118" s="6">
        <v>115</v>
      </c>
      <c r="B118" s="9" t="s">
        <v>145</v>
      </c>
      <c r="C118" s="9"/>
      <c r="D118" s="14" t="s">
        <v>112</v>
      </c>
      <c r="E118" s="14" t="s">
        <v>115</v>
      </c>
      <c r="F118" s="14">
        <v>133</v>
      </c>
      <c r="G118" s="14">
        <v>17715050</v>
      </c>
      <c r="H118" s="16" t="s">
        <v>709</v>
      </c>
      <c r="I118" s="19" t="s">
        <v>1089</v>
      </c>
      <c r="J118" s="14">
        <v>39603332</v>
      </c>
      <c r="K118" s="14"/>
      <c r="L118" s="14" t="s">
        <v>1061</v>
      </c>
      <c r="M118" s="14">
        <v>39801633</v>
      </c>
      <c r="N118" s="19" t="s">
        <v>711</v>
      </c>
      <c r="O118" s="19" t="s">
        <v>712</v>
      </c>
      <c r="P118" s="14" t="s">
        <v>708</v>
      </c>
      <c r="Q118" s="14">
        <v>39303032</v>
      </c>
      <c r="R118" s="14">
        <v>1522</v>
      </c>
      <c r="S118" s="14">
        <v>2733</v>
      </c>
      <c r="T118" s="14">
        <v>327</v>
      </c>
      <c r="U118" s="14" t="s">
        <v>710</v>
      </c>
      <c r="V118" s="14" t="s">
        <v>485</v>
      </c>
      <c r="W118" s="14">
        <v>2020</v>
      </c>
      <c r="X118" s="17" t="s">
        <v>1002</v>
      </c>
      <c r="Y118" s="15"/>
      <c r="Z118" s="14" t="s">
        <v>846</v>
      </c>
      <c r="AA118" s="14">
        <v>12</v>
      </c>
    </row>
    <row r="119" spans="1:27" ht="24.95" customHeight="1" x14ac:dyDescent="0.2">
      <c r="A119" s="6">
        <v>116</v>
      </c>
      <c r="B119" s="9" t="s">
        <v>117</v>
      </c>
      <c r="C119" s="9"/>
      <c r="D119" s="14" t="s">
        <v>112</v>
      </c>
      <c r="E119" s="14" t="s">
        <v>115</v>
      </c>
      <c r="F119" s="14">
        <v>315</v>
      </c>
      <c r="G119" s="14">
        <v>17622511</v>
      </c>
      <c r="H119" s="14" t="s">
        <v>363</v>
      </c>
      <c r="I119" s="14" t="s">
        <v>364</v>
      </c>
      <c r="J119" s="14">
        <v>17622511</v>
      </c>
      <c r="K119" s="14"/>
      <c r="L119" s="14" t="s">
        <v>1063</v>
      </c>
      <c r="M119" s="14">
        <v>32100523</v>
      </c>
      <c r="N119" s="14" t="s">
        <v>365</v>
      </c>
      <c r="O119" s="14">
        <v>39344555</v>
      </c>
      <c r="P119" s="14" t="s">
        <v>365</v>
      </c>
      <c r="Q119" s="14">
        <v>39344555</v>
      </c>
      <c r="R119" s="14">
        <v>670</v>
      </c>
      <c r="S119" s="14">
        <v>7514</v>
      </c>
      <c r="T119" s="14">
        <v>475</v>
      </c>
      <c r="U119" s="14" t="s">
        <v>664</v>
      </c>
      <c r="V119" s="14" t="s">
        <v>486</v>
      </c>
      <c r="W119" s="14">
        <v>2020</v>
      </c>
      <c r="X119" s="17" t="s">
        <v>362</v>
      </c>
      <c r="Y119" s="14"/>
      <c r="Z119" s="14" t="s">
        <v>663</v>
      </c>
      <c r="AA119" s="14">
        <v>15</v>
      </c>
    </row>
    <row r="120" spans="1:27" ht="33" customHeight="1" x14ac:dyDescent="0.2">
      <c r="A120" s="6">
        <v>117</v>
      </c>
      <c r="B120" s="9" t="s">
        <v>131</v>
      </c>
      <c r="C120" s="9"/>
      <c r="D120" s="14" t="s">
        <v>112</v>
      </c>
      <c r="E120" s="14" t="s">
        <v>115</v>
      </c>
      <c r="F120" s="14">
        <v>235</v>
      </c>
      <c r="G120" s="14">
        <v>17002293</v>
      </c>
      <c r="H120" s="16" t="s">
        <v>690</v>
      </c>
      <c r="I120" s="14" t="s">
        <v>803</v>
      </c>
      <c r="J120" s="14">
        <v>39902036</v>
      </c>
      <c r="K120" s="14"/>
      <c r="L120" s="14" t="s">
        <v>1062</v>
      </c>
      <c r="M120" s="14">
        <v>36941015</v>
      </c>
      <c r="N120" s="14" t="s">
        <v>1062</v>
      </c>
      <c r="O120" s="14">
        <v>36941015</v>
      </c>
      <c r="P120" s="14"/>
      <c r="Q120" s="14"/>
      <c r="R120" s="14">
        <v>187</v>
      </c>
      <c r="S120" s="14">
        <v>4104</v>
      </c>
      <c r="T120" s="14">
        <v>941</v>
      </c>
      <c r="U120" s="14" t="s">
        <v>691</v>
      </c>
      <c r="V120" s="14" t="s">
        <v>487</v>
      </c>
      <c r="W120" s="14">
        <v>2020</v>
      </c>
      <c r="X120" s="17" t="s">
        <v>1003</v>
      </c>
      <c r="Y120" s="14"/>
      <c r="Z120" s="14" t="s">
        <v>848</v>
      </c>
      <c r="AA120" s="14">
        <v>4</v>
      </c>
    </row>
    <row r="121" spans="1:27" ht="24.95" customHeight="1" x14ac:dyDescent="0.2">
      <c r="A121" s="6">
        <v>118</v>
      </c>
      <c r="B121" s="9" t="s">
        <v>124</v>
      </c>
      <c r="C121" s="9"/>
      <c r="D121" s="14" t="s">
        <v>112</v>
      </c>
      <c r="E121" s="14" t="s">
        <v>115</v>
      </c>
      <c r="F121" s="14">
        <v>115</v>
      </c>
      <c r="G121" s="14">
        <v>34332277</v>
      </c>
      <c r="H121" s="16" t="s">
        <v>367</v>
      </c>
      <c r="I121" s="14" t="s">
        <v>668</v>
      </c>
      <c r="J121" s="14">
        <v>33377161</v>
      </c>
      <c r="K121" s="14"/>
      <c r="L121" s="14" t="s">
        <v>368</v>
      </c>
      <c r="M121" s="14" t="s">
        <v>1064</v>
      </c>
      <c r="N121" s="14" t="s">
        <v>369</v>
      </c>
      <c r="O121" s="14">
        <v>34332277</v>
      </c>
      <c r="P121" s="14" t="s">
        <v>369</v>
      </c>
      <c r="Q121" s="14">
        <v>34332277</v>
      </c>
      <c r="R121" s="14">
        <v>937</v>
      </c>
      <c r="S121" s="14">
        <v>3709</v>
      </c>
      <c r="T121" s="14">
        <v>559</v>
      </c>
      <c r="U121" s="14" t="s">
        <v>370</v>
      </c>
      <c r="V121" s="14" t="s">
        <v>487</v>
      </c>
      <c r="W121" s="14">
        <v>2020</v>
      </c>
      <c r="X121" s="17" t="s">
        <v>1004</v>
      </c>
      <c r="Y121" s="15"/>
      <c r="Z121" s="14" t="s">
        <v>849</v>
      </c>
      <c r="AA121" s="14">
        <v>7</v>
      </c>
    </row>
    <row r="122" spans="1:27" ht="24.75" customHeight="1" x14ac:dyDescent="0.2">
      <c r="A122" s="6">
        <v>119</v>
      </c>
      <c r="B122" s="9" t="s">
        <v>120</v>
      </c>
      <c r="C122" s="9"/>
      <c r="D122" s="14" t="s">
        <v>113</v>
      </c>
      <c r="E122" s="14" t="s">
        <v>115</v>
      </c>
      <c r="F122" s="14">
        <v>123</v>
      </c>
      <c r="G122" s="14" t="s">
        <v>371</v>
      </c>
      <c r="H122" s="14" t="s">
        <v>372</v>
      </c>
      <c r="I122" s="14" t="s">
        <v>373</v>
      </c>
      <c r="J122" s="14">
        <v>33361166</v>
      </c>
      <c r="K122" s="14"/>
      <c r="L122" s="14" t="s">
        <v>1065</v>
      </c>
      <c r="M122" s="14">
        <v>33225117</v>
      </c>
      <c r="N122" s="14" t="s">
        <v>374</v>
      </c>
      <c r="O122" s="14">
        <v>33397222</v>
      </c>
      <c r="P122" s="14" t="s">
        <v>374</v>
      </c>
      <c r="Q122" s="14">
        <v>33397222</v>
      </c>
      <c r="R122" s="14">
        <v>451</v>
      </c>
      <c r="S122" s="14">
        <v>3210</v>
      </c>
      <c r="T122" s="14">
        <v>732</v>
      </c>
      <c r="U122" s="14" t="s">
        <v>326</v>
      </c>
      <c r="V122" s="14" t="s">
        <v>486</v>
      </c>
      <c r="W122" s="14">
        <v>2020</v>
      </c>
      <c r="X122" s="17" t="s">
        <v>1005</v>
      </c>
      <c r="Y122" s="15"/>
      <c r="Z122" s="14" t="s">
        <v>669</v>
      </c>
      <c r="AA122" s="14">
        <v>8</v>
      </c>
    </row>
    <row r="123" spans="1:27" ht="24.95" customHeight="1" x14ac:dyDescent="0.2">
      <c r="A123" s="6">
        <v>120</v>
      </c>
      <c r="B123" s="9" t="s">
        <v>126</v>
      </c>
      <c r="C123" s="9"/>
      <c r="D123" s="14" t="s">
        <v>113</v>
      </c>
      <c r="E123" s="14" t="s">
        <v>115</v>
      </c>
      <c r="F123" s="14">
        <v>63</v>
      </c>
      <c r="G123" s="14">
        <v>33599974</v>
      </c>
      <c r="H123" s="14" t="s">
        <v>375</v>
      </c>
      <c r="I123" s="14" t="s">
        <v>376</v>
      </c>
      <c r="J123" s="14">
        <v>33599974</v>
      </c>
      <c r="K123" s="14"/>
      <c r="L123" s="14" t="s">
        <v>377</v>
      </c>
      <c r="M123" s="14">
        <v>39791177</v>
      </c>
      <c r="N123" s="14" t="s">
        <v>376</v>
      </c>
      <c r="O123" s="14">
        <v>33599974</v>
      </c>
      <c r="P123" s="14" t="s">
        <v>378</v>
      </c>
      <c r="Q123" s="14">
        <v>39077128</v>
      </c>
      <c r="R123" s="14">
        <v>228</v>
      </c>
      <c r="S123" s="14">
        <v>2209</v>
      </c>
      <c r="T123" s="14">
        <v>1022</v>
      </c>
      <c r="U123" s="14" t="s">
        <v>611</v>
      </c>
      <c r="V123" s="14" t="s">
        <v>486</v>
      </c>
      <c r="W123" s="14">
        <v>2021</v>
      </c>
      <c r="X123" s="17" t="s">
        <v>1006</v>
      </c>
      <c r="Y123" s="15"/>
      <c r="Z123" s="14" t="s">
        <v>670</v>
      </c>
      <c r="AA123" s="14">
        <v>4</v>
      </c>
    </row>
    <row r="124" spans="1:27" ht="24.95" customHeight="1" x14ac:dyDescent="0.2">
      <c r="A124" s="6">
        <v>121</v>
      </c>
      <c r="B124" s="9" t="s">
        <v>127</v>
      </c>
      <c r="C124" s="9"/>
      <c r="D124" s="14" t="s">
        <v>113</v>
      </c>
      <c r="E124" s="14" t="s">
        <v>115</v>
      </c>
      <c r="F124" s="14">
        <v>120</v>
      </c>
      <c r="G124" s="14">
        <v>17781111</v>
      </c>
      <c r="H124" s="16" t="s">
        <v>379</v>
      </c>
      <c r="I124" s="14" t="s">
        <v>380</v>
      </c>
      <c r="J124" s="14">
        <v>33310064</v>
      </c>
      <c r="K124" s="14"/>
      <c r="L124" s="14" t="s">
        <v>1066</v>
      </c>
      <c r="M124" s="14">
        <v>32186996</v>
      </c>
      <c r="N124" s="14" t="s">
        <v>380</v>
      </c>
      <c r="O124" s="14">
        <v>33310064</v>
      </c>
      <c r="P124" s="14" t="s">
        <v>381</v>
      </c>
      <c r="Q124" s="14">
        <v>32186996</v>
      </c>
      <c r="R124" s="14">
        <v>2106</v>
      </c>
      <c r="S124" s="14">
        <v>5169</v>
      </c>
      <c r="T124" s="14">
        <v>551</v>
      </c>
      <c r="U124" s="14" t="s">
        <v>382</v>
      </c>
      <c r="V124" s="14" t="s">
        <v>486</v>
      </c>
      <c r="W124" s="14">
        <v>2021</v>
      </c>
      <c r="X124" s="17" t="s">
        <v>1007</v>
      </c>
      <c r="Y124" s="14"/>
      <c r="Z124" s="14" t="s">
        <v>671</v>
      </c>
      <c r="AA124" s="14">
        <v>6</v>
      </c>
    </row>
    <row r="125" spans="1:27" ht="24.95" customHeight="1" x14ac:dyDescent="0.2">
      <c r="A125" s="6">
        <v>122</v>
      </c>
      <c r="B125" s="9" t="s">
        <v>128</v>
      </c>
      <c r="C125" s="9"/>
      <c r="D125" s="14" t="s">
        <v>113</v>
      </c>
      <c r="E125" s="14" t="s">
        <v>115</v>
      </c>
      <c r="F125" s="14">
        <v>87</v>
      </c>
      <c r="G125" s="14">
        <v>39300084</v>
      </c>
      <c r="H125" s="16" t="s">
        <v>384</v>
      </c>
      <c r="I125" s="14" t="s">
        <v>385</v>
      </c>
      <c r="J125" s="14">
        <v>39818822</v>
      </c>
      <c r="K125" s="14"/>
      <c r="L125" s="14" t="s">
        <v>386</v>
      </c>
      <c r="M125" s="14">
        <v>33307026</v>
      </c>
      <c r="N125" s="14" t="s">
        <v>386</v>
      </c>
      <c r="O125" s="14">
        <v>33307026</v>
      </c>
      <c r="P125" s="14" t="s">
        <v>386</v>
      </c>
      <c r="Q125" s="14">
        <v>33307026</v>
      </c>
      <c r="R125" s="14">
        <v>370</v>
      </c>
      <c r="S125" s="14">
        <v>3505</v>
      </c>
      <c r="T125" s="14">
        <v>935</v>
      </c>
      <c r="U125" s="14" t="s">
        <v>387</v>
      </c>
      <c r="V125" s="14" t="s">
        <v>487</v>
      </c>
      <c r="W125" s="14">
        <v>2021</v>
      </c>
      <c r="X125" s="17" t="s">
        <v>1008</v>
      </c>
      <c r="Y125" s="15"/>
      <c r="Z125" s="14" t="s">
        <v>383</v>
      </c>
      <c r="AA125" s="14">
        <v>6</v>
      </c>
    </row>
    <row r="126" spans="1:27" ht="24.95" customHeight="1" x14ac:dyDescent="0.2">
      <c r="A126" s="6">
        <v>123</v>
      </c>
      <c r="B126" s="9" t="s">
        <v>129</v>
      </c>
      <c r="C126" s="9"/>
      <c r="D126" s="14" t="s">
        <v>112</v>
      </c>
      <c r="E126" s="14" t="s">
        <v>115</v>
      </c>
      <c r="F126" s="14">
        <v>75</v>
      </c>
      <c r="G126" s="14">
        <v>38141271</v>
      </c>
      <c r="H126" s="18" t="s">
        <v>876</v>
      </c>
      <c r="I126" s="14" t="s">
        <v>675</v>
      </c>
      <c r="J126" s="14">
        <v>33369123</v>
      </c>
      <c r="K126" s="14"/>
      <c r="L126" s="14" t="s">
        <v>675</v>
      </c>
      <c r="M126" s="14">
        <v>33369123</v>
      </c>
      <c r="N126" s="14" t="s">
        <v>388</v>
      </c>
      <c r="O126" s="14">
        <v>38833167</v>
      </c>
      <c r="P126" s="14" t="s">
        <v>675</v>
      </c>
      <c r="Q126" s="14">
        <v>33369123</v>
      </c>
      <c r="R126" s="14">
        <v>296</v>
      </c>
      <c r="S126" s="14">
        <v>5308</v>
      </c>
      <c r="T126" s="14">
        <v>553</v>
      </c>
      <c r="U126" s="14" t="s">
        <v>389</v>
      </c>
      <c r="V126" s="14" t="s">
        <v>486</v>
      </c>
      <c r="W126" s="14">
        <v>2021</v>
      </c>
      <c r="X126" s="17" t="s">
        <v>1009</v>
      </c>
      <c r="Y126" s="15"/>
      <c r="Z126" s="14" t="s">
        <v>672</v>
      </c>
      <c r="AA126" s="14">
        <v>5</v>
      </c>
    </row>
    <row r="127" spans="1:27" ht="24.95" customHeight="1" x14ac:dyDescent="0.2">
      <c r="A127" s="6">
        <v>124</v>
      </c>
      <c r="B127" s="9" t="s">
        <v>130</v>
      </c>
      <c r="C127" s="9"/>
      <c r="D127" s="14" t="s">
        <v>112</v>
      </c>
      <c r="E127" s="14" t="s">
        <v>115</v>
      </c>
      <c r="F127" s="14">
        <v>123</v>
      </c>
      <c r="G127" s="14">
        <v>32223670</v>
      </c>
      <c r="H127" s="14" t="s">
        <v>390</v>
      </c>
      <c r="I127" s="14" t="s">
        <v>674</v>
      </c>
      <c r="J127" s="14">
        <v>39434396</v>
      </c>
      <c r="K127" s="14"/>
      <c r="L127" s="14" t="s">
        <v>676</v>
      </c>
      <c r="M127" s="14">
        <v>36313350</v>
      </c>
      <c r="N127" s="14" t="s">
        <v>676</v>
      </c>
      <c r="O127" s="14">
        <v>36313350</v>
      </c>
      <c r="P127" s="14" t="s">
        <v>677</v>
      </c>
      <c r="Q127" s="14">
        <v>32223670</v>
      </c>
      <c r="R127" s="14">
        <v>2074</v>
      </c>
      <c r="S127" s="14">
        <v>2644</v>
      </c>
      <c r="T127" s="14">
        <v>226</v>
      </c>
      <c r="U127" s="14" t="s">
        <v>346</v>
      </c>
      <c r="V127" s="14" t="s">
        <v>484</v>
      </c>
      <c r="W127" s="14">
        <v>2021</v>
      </c>
      <c r="X127" s="17"/>
      <c r="Y127" s="15"/>
      <c r="Z127" s="14" t="s">
        <v>673</v>
      </c>
      <c r="AA127" s="14">
        <v>9</v>
      </c>
    </row>
    <row r="128" spans="1:27" ht="39" customHeight="1" x14ac:dyDescent="0.15">
      <c r="A128" s="6">
        <v>125</v>
      </c>
      <c r="B128" s="9" t="s">
        <v>132</v>
      </c>
      <c r="C128" s="9"/>
      <c r="D128" s="14" t="s">
        <v>113</v>
      </c>
      <c r="E128" s="14" t="s">
        <v>115</v>
      </c>
      <c r="F128" s="14">
        <v>115</v>
      </c>
      <c r="G128" s="14">
        <v>17277767</v>
      </c>
      <c r="H128" s="14" t="s">
        <v>391</v>
      </c>
      <c r="I128" s="14" t="s">
        <v>392</v>
      </c>
      <c r="J128" s="14">
        <v>39696936</v>
      </c>
      <c r="K128" s="14"/>
      <c r="L128" s="49" t="s">
        <v>1174</v>
      </c>
      <c r="M128" s="49">
        <v>66358701</v>
      </c>
      <c r="N128" s="19" t="s">
        <v>1145</v>
      </c>
      <c r="O128" s="19" t="s">
        <v>1144</v>
      </c>
      <c r="P128" s="14"/>
      <c r="Q128" s="14"/>
      <c r="R128" s="14">
        <v>1014</v>
      </c>
      <c r="S128" s="14">
        <v>5221</v>
      </c>
      <c r="T128" s="14">
        <v>752</v>
      </c>
      <c r="U128" s="14" t="s">
        <v>393</v>
      </c>
      <c r="V128" s="14" t="s">
        <v>486</v>
      </c>
      <c r="W128" s="14">
        <v>2021</v>
      </c>
      <c r="X128" s="17" t="s">
        <v>1010</v>
      </c>
      <c r="Y128" s="14"/>
      <c r="Z128" s="14" t="s">
        <v>678</v>
      </c>
      <c r="AA128" s="14">
        <v>8</v>
      </c>
    </row>
    <row r="129" spans="1:27" ht="24.95" customHeight="1" x14ac:dyDescent="0.2">
      <c r="A129" s="6">
        <v>126</v>
      </c>
      <c r="B129" s="9" t="s">
        <v>138</v>
      </c>
      <c r="C129" s="9"/>
      <c r="D129" s="14" t="s">
        <v>113</v>
      </c>
      <c r="E129" s="14" t="s">
        <v>115</v>
      </c>
      <c r="F129" s="14">
        <v>116</v>
      </c>
      <c r="G129" s="14">
        <v>36771665</v>
      </c>
      <c r="H129" s="16" t="s">
        <v>754</v>
      </c>
      <c r="I129" s="14" t="s">
        <v>1126</v>
      </c>
      <c r="J129" s="14">
        <v>36077662</v>
      </c>
      <c r="K129" s="14"/>
      <c r="L129" s="49" t="s">
        <v>1126</v>
      </c>
      <c r="M129" s="49">
        <v>36077662</v>
      </c>
      <c r="N129" s="14" t="s">
        <v>786</v>
      </c>
      <c r="O129" s="14">
        <v>36077662</v>
      </c>
      <c r="P129" s="14" t="s">
        <v>784</v>
      </c>
      <c r="Q129" s="14">
        <v>33929330</v>
      </c>
      <c r="R129" s="14">
        <v>1856</v>
      </c>
      <c r="S129" s="14">
        <v>2828</v>
      </c>
      <c r="T129" s="14">
        <v>228</v>
      </c>
      <c r="U129" s="14" t="s">
        <v>138</v>
      </c>
      <c r="V129" s="14" t="s">
        <v>484</v>
      </c>
      <c r="W129" s="14">
        <v>2022</v>
      </c>
      <c r="X129" s="17" t="s">
        <v>1011</v>
      </c>
      <c r="Y129" s="14"/>
      <c r="Z129" s="14" t="s">
        <v>785</v>
      </c>
      <c r="AA129" s="14">
        <v>7</v>
      </c>
    </row>
    <row r="130" spans="1:27" ht="24.95" customHeight="1" x14ac:dyDescent="0.2">
      <c r="A130" s="6">
        <v>127</v>
      </c>
      <c r="B130" s="9" t="s">
        <v>140</v>
      </c>
      <c r="C130" s="9"/>
      <c r="D130" s="14" t="s">
        <v>113</v>
      </c>
      <c r="E130" s="14" t="s">
        <v>115</v>
      </c>
      <c r="F130" s="14">
        <v>115</v>
      </c>
      <c r="G130" s="14">
        <v>33344614</v>
      </c>
      <c r="H130" s="16" t="s">
        <v>681</v>
      </c>
      <c r="I130" s="14" t="s">
        <v>682</v>
      </c>
      <c r="J130" s="14">
        <v>33999918</v>
      </c>
      <c r="K130" s="14"/>
      <c r="L130" s="14" t="s">
        <v>1067</v>
      </c>
      <c r="M130" s="14">
        <v>33213286</v>
      </c>
      <c r="N130" s="14" t="s">
        <v>684</v>
      </c>
      <c r="O130" s="14">
        <v>33999918</v>
      </c>
      <c r="P130" s="14" t="s">
        <v>683</v>
      </c>
      <c r="Q130" s="14">
        <v>33213286</v>
      </c>
      <c r="R130" s="14">
        <v>89</v>
      </c>
      <c r="S130" s="14">
        <v>55</v>
      </c>
      <c r="T130" s="14">
        <v>1056</v>
      </c>
      <c r="U130" s="14" t="s">
        <v>97</v>
      </c>
      <c r="V130" s="14" t="s">
        <v>487</v>
      </c>
      <c r="W130" s="14">
        <v>2022</v>
      </c>
      <c r="X130" s="17" t="s">
        <v>1012</v>
      </c>
      <c r="Y130" s="14"/>
      <c r="Z130" s="14" t="s">
        <v>680</v>
      </c>
      <c r="AA130" s="14">
        <v>6</v>
      </c>
    </row>
    <row r="131" spans="1:27" ht="35.25" customHeight="1" x14ac:dyDescent="0.15">
      <c r="A131" s="6">
        <v>128</v>
      </c>
      <c r="B131" s="9" t="s">
        <v>141</v>
      </c>
      <c r="C131" s="9"/>
      <c r="D131" s="14" t="s">
        <v>113</v>
      </c>
      <c r="E131" s="14" t="s">
        <v>115</v>
      </c>
      <c r="F131" s="14">
        <v>135</v>
      </c>
      <c r="G131" s="14" t="s">
        <v>756</v>
      </c>
      <c r="H131" s="16" t="s">
        <v>755</v>
      </c>
      <c r="I131" s="19" t="s">
        <v>807</v>
      </c>
      <c r="J131" s="14">
        <v>36478219</v>
      </c>
      <c r="K131" s="14"/>
      <c r="L131" s="14" t="s">
        <v>1068</v>
      </c>
      <c r="M131" s="14">
        <v>36478219</v>
      </c>
      <c r="N131" s="14" t="s">
        <v>757</v>
      </c>
      <c r="O131" s="14">
        <v>36478219</v>
      </c>
      <c r="P131" s="14"/>
      <c r="Q131" s="14"/>
      <c r="R131" s="14">
        <v>864</v>
      </c>
      <c r="S131" s="14">
        <v>3430</v>
      </c>
      <c r="T131" s="14">
        <v>1034</v>
      </c>
      <c r="U131" s="14" t="s">
        <v>657</v>
      </c>
      <c r="V131" s="14" t="s">
        <v>486</v>
      </c>
      <c r="W131" s="14">
        <v>2022</v>
      </c>
      <c r="X131" s="17" t="s">
        <v>1013</v>
      </c>
      <c r="Y131" s="14"/>
      <c r="Z131" s="14" t="s">
        <v>851</v>
      </c>
      <c r="AA131" s="14"/>
    </row>
    <row r="132" spans="1:27" ht="24.95" customHeight="1" x14ac:dyDescent="0.2">
      <c r="A132" s="6">
        <v>129</v>
      </c>
      <c r="B132" s="9" t="s">
        <v>479</v>
      </c>
      <c r="C132" s="9"/>
      <c r="D132" s="14" t="s">
        <v>113</v>
      </c>
      <c r="E132" s="14" t="s">
        <v>115</v>
      </c>
      <c r="F132" s="14">
        <v>117</v>
      </c>
      <c r="G132" s="14">
        <v>38358018</v>
      </c>
      <c r="H132" s="16" t="s">
        <v>701</v>
      </c>
      <c r="I132" s="14" t="s">
        <v>699</v>
      </c>
      <c r="J132" s="14">
        <v>39119022</v>
      </c>
      <c r="K132" s="14"/>
      <c r="L132" s="14" t="s">
        <v>874</v>
      </c>
      <c r="M132" s="14">
        <v>39119022</v>
      </c>
      <c r="N132" s="14" t="s">
        <v>871</v>
      </c>
      <c r="O132" s="14">
        <v>38358018</v>
      </c>
      <c r="P132" s="14" t="s">
        <v>699</v>
      </c>
      <c r="Q132" s="14">
        <v>39191961</v>
      </c>
      <c r="R132" s="14">
        <v>59</v>
      </c>
      <c r="S132" s="14">
        <v>32</v>
      </c>
      <c r="T132" s="14">
        <v>1032</v>
      </c>
      <c r="U132" s="14" t="s">
        <v>657</v>
      </c>
      <c r="V132" s="14" t="s">
        <v>486</v>
      </c>
      <c r="W132" s="14">
        <v>2022</v>
      </c>
      <c r="X132" s="17" t="s">
        <v>1015</v>
      </c>
      <c r="Y132" s="14"/>
      <c r="Z132" s="14" t="s">
        <v>700</v>
      </c>
      <c r="AA132" s="14">
        <v>10</v>
      </c>
    </row>
    <row r="133" spans="1:27" ht="33.75" customHeight="1" x14ac:dyDescent="0.2">
      <c r="A133" s="6">
        <v>130</v>
      </c>
      <c r="B133" s="9" t="s">
        <v>865</v>
      </c>
      <c r="C133" s="9"/>
      <c r="D133" s="14" t="s">
        <v>112</v>
      </c>
      <c r="E133" s="14" t="s">
        <v>115</v>
      </c>
      <c r="F133" s="14">
        <v>151</v>
      </c>
      <c r="G133" s="26">
        <v>32222945</v>
      </c>
      <c r="H133" s="42" t="s">
        <v>877</v>
      </c>
      <c r="I133" s="14" t="s">
        <v>868</v>
      </c>
      <c r="J133" s="19">
        <v>39968834</v>
      </c>
      <c r="K133" s="19"/>
      <c r="L133" s="14" t="s">
        <v>875</v>
      </c>
      <c r="M133" s="14">
        <v>32270702</v>
      </c>
      <c r="N133" s="14" t="s">
        <v>875</v>
      </c>
      <c r="O133" s="14">
        <v>32270702</v>
      </c>
      <c r="P133" s="14"/>
      <c r="Q133" s="14"/>
      <c r="R133" s="14">
        <v>2591</v>
      </c>
      <c r="S133" s="14">
        <v>3647</v>
      </c>
      <c r="T133" s="14">
        <v>436</v>
      </c>
      <c r="U133" s="14" t="s">
        <v>867</v>
      </c>
      <c r="V133" s="14" t="s">
        <v>485</v>
      </c>
      <c r="W133" s="14">
        <v>2023</v>
      </c>
      <c r="X133" s="17" t="s">
        <v>1016</v>
      </c>
      <c r="Y133" s="14"/>
      <c r="Z133" s="14" t="s">
        <v>878</v>
      </c>
      <c r="AA133" s="14"/>
    </row>
    <row r="134" spans="1:27" ht="24.95" customHeight="1" x14ac:dyDescent="0.2">
      <c r="A134" s="6">
        <v>131</v>
      </c>
      <c r="B134" s="9" t="s">
        <v>866</v>
      </c>
      <c r="C134" s="9"/>
      <c r="D134" s="14" t="s">
        <v>113</v>
      </c>
      <c r="E134" s="14" t="s">
        <v>115</v>
      </c>
      <c r="F134" s="14">
        <v>113</v>
      </c>
      <c r="G134" s="26">
        <v>36151144</v>
      </c>
      <c r="H134" s="18" t="s">
        <v>873</v>
      </c>
      <c r="I134" s="14" t="s">
        <v>869</v>
      </c>
      <c r="J134" s="14">
        <v>37101002</v>
      </c>
      <c r="K134" s="14"/>
      <c r="L134" s="14" t="s">
        <v>1075</v>
      </c>
      <c r="M134" s="14">
        <v>33123388</v>
      </c>
      <c r="N134" s="14" t="s">
        <v>1118</v>
      </c>
      <c r="O134" s="14">
        <v>37101002</v>
      </c>
      <c r="P134" s="14"/>
      <c r="Q134" s="14"/>
      <c r="R134" s="14">
        <v>105</v>
      </c>
      <c r="S134" s="14">
        <v>13</v>
      </c>
      <c r="T134" s="14">
        <v>253</v>
      </c>
      <c r="U134" s="14" t="s">
        <v>357</v>
      </c>
      <c r="V134" s="14" t="s">
        <v>484</v>
      </c>
      <c r="W134" s="14">
        <v>2023</v>
      </c>
      <c r="X134" s="17" t="s">
        <v>1017</v>
      </c>
      <c r="Y134" s="14"/>
      <c r="Z134" s="14" t="s">
        <v>879</v>
      </c>
      <c r="AA134" s="14"/>
    </row>
    <row r="135" spans="1:27" ht="24.95" customHeight="1" x14ac:dyDescent="0.2">
      <c r="A135" s="6">
        <v>132</v>
      </c>
      <c r="B135" s="9" t="s">
        <v>1033</v>
      </c>
      <c r="C135" s="9"/>
      <c r="D135" s="14" t="s">
        <v>113</v>
      </c>
      <c r="E135" s="14" t="s">
        <v>115</v>
      </c>
      <c r="F135" s="14">
        <v>86</v>
      </c>
      <c r="G135" s="26">
        <v>36633318</v>
      </c>
      <c r="H135" s="18" t="s">
        <v>1083</v>
      </c>
      <c r="I135" s="14" t="s">
        <v>802</v>
      </c>
      <c r="J135" s="14">
        <v>36633318</v>
      </c>
      <c r="K135" s="14"/>
      <c r="L135" s="14" t="s">
        <v>1070</v>
      </c>
      <c r="M135" s="14">
        <v>34125515</v>
      </c>
      <c r="N135" s="14" t="s">
        <v>1070</v>
      </c>
      <c r="O135" s="14">
        <v>34125515</v>
      </c>
      <c r="P135" s="14"/>
      <c r="Q135" s="14"/>
      <c r="R135" s="14">
        <v>809</v>
      </c>
      <c r="S135" s="14">
        <v>1314</v>
      </c>
      <c r="T135" s="14">
        <v>913</v>
      </c>
      <c r="U135" s="14" t="s">
        <v>801</v>
      </c>
      <c r="V135" s="14" t="s">
        <v>487</v>
      </c>
      <c r="W135" s="14">
        <v>2023</v>
      </c>
      <c r="X135" s="17"/>
      <c r="Y135" s="14"/>
      <c r="Z135" s="14"/>
      <c r="AA135" s="14">
        <v>7</v>
      </c>
    </row>
    <row r="136" spans="1:27" ht="35.25" customHeight="1" x14ac:dyDescent="0.2">
      <c r="A136" s="6">
        <v>133</v>
      </c>
      <c r="B136" s="48" t="s">
        <v>1088</v>
      </c>
      <c r="C136" s="9" t="s">
        <v>1077</v>
      </c>
      <c r="D136" s="14" t="s">
        <v>112</v>
      </c>
      <c r="E136" s="14" t="s">
        <v>115</v>
      </c>
      <c r="F136" s="14">
        <v>103</v>
      </c>
      <c r="G136" s="14" t="s">
        <v>777</v>
      </c>
      <c r="H136" s="14" t="s">
        <v>1078</v>
      </c>
      <c r="I136" s="19" t="s">
        <v>1086</v>
      </c>
      <c r="J136" s="19">
        <v>34019325</v>
      </c>
      <c r="K136" s="19"/>
      <c r="L136" s="19" t="s">
        <v>1087</v>
      </c>
      <c r="M136" s="19">
        <v>33509934</v>
      </c>
      <c r="N136" s="19" t="s">
        <v>1087</v>
      </c>
      <c r="O136" s="19">
        <v>33509934</v>
      </c>
      <c r="P136" s="14"/>
      <c r="Q136" s="14"/>
      <c r="R136" s="14">
        <v>874</v>
      </c>
      <c r="S136" s="14">
        <v>203</v>
      </c>
      <c r="T136" s="14">
        <v>802</v>
      </c>
      <c r="U136" s="14" t="s">
        <v>0</v>
      </c>
      <c r="V136" s="14" t="s">
        <v>487</v>
      </c>
      <c r="W136" s="14">
        <v>1983</v>
      </c>
      <c r="X136" s="17" t="s">
        <v>1019</v>
      </c>
      <c r="Y136" s="14"/>
      <c r="Z136" s="14" t="s">
        <v>818</v>
      </c>
      <c r="AA136" s="14"/>
    </row>
    <row r="137" spans="1:27" ht="35.25" customHeight="1" x14ac:dyDescent="0.15">
      <c r="A137" s="6">
        <v>134</v>
      </c>
      <c r="B137" s="9" t="s">
        <v>119</v>
      </c>
      <c r="C137" s="9" t="s">
        <v>119</v>
      </c>
      <c r="D137" s="14" t="s">
        <v>112</v>
      </c>
      <c r="E137" s="14" t="s">
        <v>115</v>
      </c>
      <c r="F137" s="14">
        <v>76</v>
      </c>
      <c r="G137" s="14">
        <v>17100036</v>
      </c>
      <c r="H137" s="14" t="s">
        <v>761</v>
      </c>
      <c r="I137" s="19" t="s">
        <v>1091</v>
      </c>
      <c r="J137" s="19">
        <v>39668774</v>
      </c>
      <c r="K137" s="19"/>
      <c r="L137" s="19" t="s">
        <v>1105</v>
      </c>
      <c r="M137" s="19">
        <v>38800016</v>
      </c>
      <c r="N137" s="19" t="s">
        <v>1105</v>
      </c>
      <c r="O137" s="19">
        <v>38800016</v>
      </c>
      <c r="P137" s="14"/>
      <c r="Q137" s="14"/>
      <c r="R137" s="14">
        <v>179</v>
      </c>
      <c r="S137" s="14">
        <v>77</v>
      </c>
      <c r="T137" s="14">
        <v>575</v>
      </c>
      <c r="U137" s="14" t="s">
        <v>783</v>
      </c>
      <c r="V137" s="14" t="s">
        <v>486</v>
      </c>
      <c r="W137" s="14">
        <v>2020</v>
      </c>
      <c r="X137" s="17" t="s">
        <v>1021</v>
      </c>
      <c r="Y137" s="14"/>
      <c r="Z137" s="14" t="s">
        <v>847</v>
      </c>
      <c r="AA137" s="14"/>
    </row>
    <row r="138" spans="1:27" ht="35.25" customHeight="1" x14ac:dyDescent="0.15">
      <c r="A138" s="6">
        <v>135</v>
      </c>
      <c r="B138" s="9" t="s">
        <v>1090</v>
      </c>
      <c r="C138" s="9"/>
      <c r="D138" s="14" t="s">
        <v>112</v>
      </c>
      <c r="E138" s="14" t="s">
        <v>115</v>
      </c>
      <c r="F138" s="14">
        <v>140</v>
      </c>
      <c r="G138" s="14" t="s">
        <v>1167</v>
      </c>
      <c r="H138" s="14" t="s">
        <v>1099</v>
      </c>
      <c r="I138" s="19" t="s">
        <v>1116</v>
      </c>
      <c r="J138" s="52">
        <v>36444913</v>
      </c>
      <c r="K138" s="19"/>
      <c r="L138" s="19" t="s">
        <v>1101</v>
      </c>
      <c r="M138" s="19">
        <v>32188210</v>
      </c>
      <c r="N138" s="19" t="s">
        <v>1102</v>
      </c>
      <c r="O138" s="19">
        <v>33710107</v>
      </c>
      <c r="P138" s="14"/>
      <c r="Q138" s="14"/>
      <c r="R138" s="14">
        <v>1073</v>
      </c>
      <c r="S138" s="14">
        <v>3924</v>
      </c>
      <c r="T138" s="14">
        <v>939</v>
      </c>
      <c r="U138" s="14" t="s">
        <v>705</v>
      </c>
      <c r="V138" s="14" t="s">
        <v>487</v>
      </c>
      <c r="W138" s="14">
        <v>2024</v>
      </c>
      <c r="X138" s="17"/>
      <c r="Y138" s="14"/>
      <c r="Z138" s="14"/>
      <c r="AA138" s="14"/>
    </row>
    <row r="139" spans="1:27" ht="35.25" customHeight="1" x14ac:dyDescent="0.15">
      <c r="A139" s="6">
        <v>136</v>
      </c>
      <c r="B139" s="9" t="s">
        <v>1094</v>
      </c>
      <c r="C139" s="9"/>
      <c r="D139" s="14" t="s">
        <v>112</v>
      </c>
      <c r="E139" s="14" t="s">
        <v>115</v>
      </c>
      <c r="F139" s="14">
        <v>99</v>
      </c>
      <c r="G139" s="14">
        <v>39016333</v>
      </c>
      <c r="H139" s="18" t="s">
        <v>1106</v>
      </c>
      <c r="I139" s="19" t="s">
        <v>1095</v>
      </c>
      <c r="J139" s="19">
        <v>34019325</v>
      </c>
      <c r="K139" s="19"/>
      <c r="L139" s="19" t="s">
        <v>1134</v>
      </c>
      <c r="M139" s="19">
        <v>36096990</v>
      </c>
      <c r="N139" s="19" t="s">
        <v>1103</v>
      </c>
      <c r="O139" s="19">
        <v>34019325</v>
      </c>
      <c r="P139" s="14"/>
      <c r="Q139" s="14"/>
      <c r="R139" s="14">
        <v>1241</v>
      </c>
      <c r="S139" s="14">
        <v>1319</v>
      </c>
      <c r="T139" s="14">
        <v>913</v>
      </c>
      <c r="U139" s="14" t="s">
        <v>801</v>
      </c>
      <c r="V139" s="14" t="s">
        <v>487</v>
      </c>
      <c r="W139" s="14">
        <v>2024</v>
      </c>
      <c r="X139" s="17"/>
      <c r="Y139" s="14"/>
      <c r="Z139" s="14"/>
      <c r="AA139" s="14"/>
    </row>
    <row r="140" spans="1:27" ht="35.25" customHeight="1" x14ac:dyDescent="0.15">
      <c r="A140" s="6">
        <v>137</v>
      </c>
      <c r="B140" s="9" t="s">
        <v>1097</v>
      </c>
      <c r="C140" s="9"/>
      <c r="D140" s="14" t="s">
        <v>113</v>
      </c>
      <c r="E140" s="14" t="s">
        <v>115</v>
      </c>
      <c r="F140" s="14">
        <v>173</v>
      </c>
      <c r="G140" s="14">
        <v>37555008</v>
      </c>
      <c r="H140" s="14" t="s">
        <v>1100</v>
      </c>
      <c r="I140" s="19" t="s">
        <v>1098</v>
      </c>
      <c r="J140" s="52" t="s">
        <v>1171</v>
      </c>
      <c r="K140" s="19"/>
      <c r="L140" s="14" t="s">
        <v>1135</v>
      </c>
      <c r="M140" s="14">
        <v>37555008</v>
      </c>
      <c r="N140" s="19" t="s">
        <v>1104</v>
      </c>
      <c r="O140" s="19">
        <v>36667851</v>
      </c>
      <c r="P140" s="14"/>
      <c r="Q140" s="14"/>
      <c r="R140" s="14">
        <v>1010</v>
      </c>
      <c r="S140" s="14">
        <v>80</v>
      </c>
      <c r="T140" s="14">
        <v>422</v>
      </c>
      <c r="U140" s="14" t="s">
        <v>408</v>
      </c>
      <c r="V140" s="14" t="s">
        <v>485</v>
      </c>
      <c r="W140" s="14">
        <v>2024</v>
      </c>
      <c r="X140" s="17"/>
      <c r="Y140" s="14"/>
      <c r="Z140" s="14"/>
      <c r="AA140" s="14"/>
    </row>
    <row r="141" spans="1:27" ht="35.25" customHeight="1" x14ac:dyDescent="0.15">
      <c r="A141" s="6">
        <v>138</v>
      </c>
      <c r="B141" s="9" t="s">
        <v>1113</v>
      </c>
      <c r="C141" s="9"/>
      <c r="D141" s="14" t="s">
        <v>113</v>
      </c>
      <c r="E141" s="14" t="s">
        <v>115</v>
      </c>
      <c r="F141" s="14">
        <v>80</v>
      </c>
      <c r="G141" s="14">
        <v>33942787</v>
      </c>
      <c r="H141" s="53" t="s">
        <v>1140</v>
      </c>
      <c r="I141" s="14" t="s">
        <v>1172</v>
      </c>
      <c r="J141" s="52">
        <v>36069097</v>
      </c>
      <c r="K141" s="19"/>
      <c r="L141" s="52" t="s">
        <v>1171</v>
      </c>
      <c r="M141" s="52" t="s">
        <v>1175</v>
      </c>
      <c r="N141" s="19" t="s">
        <v>1136</v>
      </c>
      <c r="O141" s="14">
        <v>33942787</v>
      </c>
      <c r="P141" s="14"/>
      <c r="Q141" s="14"/>
      <c r="R141" s="14">
        <v>1997</v>
      </c>
      <c r="S141" s="14">
        <v>5833</v>
      </c>
      <c r="T141" s="14">
        <v>358</v>
      </c>
      <c r="U141" s="14" t="s">
        <v>1115</v>
      </c>
      <c r="V141" s="14" t="s">
        <v>485</v>
      </c>
      <c r="W141" s="14">
        <v>2025</v>
      </c>
      <c r="X141" s="17"/>
      <c r="Y141" s="14"/>
      <c r="Z141" s="14"/>
      <c r="AA141" s="14"/>
    </row>
    <row r="142" spans="1:27" ht="35.25" customHeight="1" x14ac:dyDescent="0.15">
      <c r="A142" s="6">
        <v>139</v>
      </c>
      <c r="B142" s="9" t="s">
        <v>1114</v>
      </c>
      <c r="C142" s="9"/>
      <c r="D142" s="14" t="s">
        <v>112</v>
      </c>
      <c r="E142" s="14" t="s">
        <v>115</v>
      </c>
      <c r="F142" s="14">
        <v>396</v>
      </c>
      <c r="G142" s="14">
        <v>36050308</v>
      </c>
      <c r="H142" s="53" t="s">
        <v>1141</v>
      </c>
      <c r="I142" s="14" t="s">
        <v>1117</v>
      </c>
      <c r="J142" s="52">
        <v>34421331</v>
      </c>
      <c r="K142" s="19"/>
      <c r="L142" s="19" t="s">
        <v>1138</v>
      </c>
      <c r="M142" s="19">
        <v>39334246</v>
      </c>
      <c r="N142" s="19" t="s">
        <v>1138</v>
      </c>
      <c r="O142" s="19">
        <v>39334246</v>
      </c>
      <c r="P142" s="14"/>
      <c r="Q142" s="14"/>
      <c r="R142" s="14">
        <v>719</v>
      </c>
      <c r="S142" s="14">
        <v>1811</v>
      </c>
      <c r="T142" s="14">
        <v>518</v>
      </c>
      <c r="U142" s="14" t="s">
        <v>619</v>
      </c>
      <c r="V142" s="14" t="s">
        <v>486</v>
      </c>
      <c r="W142" s="14">
        <v>2025</v>
      </c>
      <c r="X142" s="17"/>
      <c r="Y142" s="14"/>
      <c r="Z142" s="14"/>
      <c r="AA142" s="14"/>
    </row>
    <row r="143" spans="1:27" ht="35.25" customHeight="1" x14ac:dyDescent="0.15">
      <c r="A143" s="6">
        <v>140</v>
      </c>
      <c r="B143" s="9" t="s">
        <v>1137</v>
      </c>
      <c r="C143" s="9"/>
      <c r="D143" s="14" t="s">
        <v>113</v>
      </c>
      <c r="E143" s="14" t="s">
        <v>115</v>
      </c>
      <c r="F143" s="14">
        <v>176</v>
      </c>
      <c r="G143" s="14">
        <v>37799191</v>
      </c>
      <c r="H143" s="18" t="s">
        <v>1124</v>
      </c>
      <c r="I143" s="14" t="s">
        <v>1125</v>
      </c>
      <c r="J143" s="52" t="s">
        <v>1168</v>
      </c>
      <c r="K143" s="19"/>
      <c r="L143" s="19" t="s">
        <v>1123</v>
      </c>
      <c r="M143" s="19">
        <v>34451994</v>
      </c>
      <c r="N143" s="19" t="s">
        <v>1123</v>
      </c>
      <c r="O143" s="19">
        <v>34451994</v>
      </c>
      <c r="P143" s="14"/>
      <c r="Q143" s="14"/>
      <c r="R143" s="14">
        <v>3382</v>
      </c>
      <c r="S143" s="14">
        <v>2261</v>
      </c>
      <c r="T143" s="14">
        <v>226</v>
      </c>
      <c r="U143" s="14" t="s">
        <v>719</v>
      </c>
      <c r="V143" s="14" t="s">
        <v>484</v>
      </c>
      <c r="W143" s="14">
        <v>2025</v>
      </c>
      <c r="X143" s="17"/>
      <c r="Y143" s="14"/>
      <c r="Z143" s="14"/>
      <c r="AA143" s="14"/>
    </row>
    <row r="144" spans="1:27" ht="35.25" customHeight="1" x14ac:dyDescent="0.15">
      <c r="A144" s="6">
        <v>141</v>
      </c>
      <c r="B144" s="9" t="s">
        <v>1121</v>
      </c>
      <c r="C144" s="9"/>
      <c r="D144" s="14" t="s">
        <v>113</v>
      </c>
      <c r="E144" s="14" t="s">
        <v>115</v>
      </c>
      <c r="F144" s="14">
        <v>120</v>
      </c>
      <c r="G144" s="14">
        <v>37998333</v>
      </c>
      <c r="H144" s="18" t="s">
        <v>1122</v>
      </c>
      <c r="I144" s="14" t="s">
        <v>1126</v>
      </c>
      <c r="J144" s="19">
        <v>36077662</v>
      </c>
      <c r="K144" s="19"/>
      <c r="L144" s="52" t="s">
        <v>1176</v>
      </c>
      <c r="M144" s="52">
        <v>33321654</v>
      </c>
      <c r="N144" s="14" t="s">
        <v>1126</v>
      </c>
      <c r="O144" s="19">
        <v>36077662</v>
      </c>
      <c r="P144" s="14"/>
      <c r="Q144" s="14"/>
      <c r="R144" s="14">
        <v>1395</v>
      </c>
      <c r="S144" s="14">
        <v>1817</v>
      </c>
      <c r="T144" s="14">
        <v>118</v>
      </c>
      <c r="U144" s="14" t="s">
        <v>1146</v>
      </c>
      <c r="V144" s="14" t="s">
        <v>484</v>
      </c>
      <c r="W144" s="14">
        <v>2025</v>
      </c>
      <c r="X144" s="17"/>
      <c r="Y144" s="14"/>
      <c r="Z144" s="14" t="s">
        <v>1143</v>
      </c>
      <c r="AA144" s="14"/>
    </row>
    <row r="145" spans="1:27" ht="35.25" customHeight="1" x14ac:dyDescent="0.2">
      <c r="A145" s="6">
        <v>142</v>
      </c>
      <c r="B145" s="9" t="s">
        <v>1120</v>
      </c>
      <c r="C145" s="9"/>
      <c r="D145" s="14" t="s">
        <v>112</v>
      </c>
      <c r="E145" s="14" t="s">
        <v>115</v>
      </c>
      <c r="F145" s="14">
        <v>144</v>
      </c>
      <c r="G145" s="14">
        <v>38150405</v>
      </c>
      <c r="H145" s="18" t="s">
        <v>1130</v>
      </c>
      <c r="I145" s="14" t="s">
        <v>1127</v>
      </c>
      <c r="J145" s="19">
        <v>32234440</v>
      </c>
      <c r="K145" s="19"/>
      <c r="L145" s="52" t="s">
        <v>1169</v>
      </c>
      <c r="M145" s="52" t="s">
        <v>1169</v>
      </c>
      <c r="N145" s="14" t="s">
        <v>1127</v>
      </c>
      <c r="O145" s="19">
        <v>32234440</v>
      </c>
      <c r="P145" s="14"/>
      <c r="Q145" s="14"/>
      <c r="R145" s="14" t="s">
        <v>1128</v>
      </c>
      <c r="S145" s="14">
        <v>36</v>
      </c>
      <c r="T145" s="14">
        <v>540</v>
      </c>
      <c r="U145" s="14" t="s">
        <v>695</v>
      </c>
      <c r="V145" s="14" t="s">
        <v>486</v>
      </c>
      <c r="W145" s="14">
        <v>2025</v>
      </c>
      <c r="X145" s="17"/>
      <c r="Y145" s="14"/>
      <c r="Z145" s="14"/>
      <c r="AA145" s="14"/>
    </row>
    <row r="146" spans="1:27" ht="35.25" customHeight="1" x14ac:dyDescent="0.15">
      <c r="A146" s="6">
        <v>143</v>
      </c>
      <c r="B146" s="9" t="s">
        <v>33</v>
      </c>
      <c r="C146" s="9"/>
      <c r="D146" s="14" t="s">
        <v>113</v>
      </c>
      <c r="E146" s="14" t="s">
        <v>115</v>
      </c>
      <c r="F146" s="14">
        <v>74</v>
      </c>
      <c r="G146" s="14">
        <v>17622500</v>
      </c>
      <c r="H146" s="18" t="s">
        <v>451</v>
      </c>
      <c r="I146" s="14" t="s">
        <v>452</v>
      </c>
      <c r="J146" s="52" t="s">
        <v>1168</v>
      </c>
      <c r="K146" s="19"/>
      <c r="L146" s="19" t="s">
        <v>1165</v>
      </c>
      <c r="M146" s="19">
        <v>36155585</v>
      </c>
      <c r="N146" s="19" t="s">
        <v>1139</v>
      </c>
      <c r="O146" s="19">
        <v>37748851</v>
      </c>
      <c r="P146" s="14"/>
      <c r="Q146" s="14"/>
      <c r="R146" s="14">
        <v>1060</v>
      </c>
      <c r="S146" s="14">
        <v>1425</v>
      </c>
      <c r="T146" s="14">
        <v>914</v>
      </c>
      <c r="U146" s="14" t="s">
        <v>1147</v>
      </c>
      <c r="V146" s="14" t="s">
        <v>487</v>
      </c>
      <c r="W146" s="14">
        <v>2014</v>
      </c>
      <c r="X146" s="17" t="s">
        <v>1028</v>
      </c>
      <c r="Y146" s="14"/>
      <c r="Z146" s="14" t="s">
        <v>823</v>
      </c>
      <c r="AA146" s="14">
        <v>3</v>
      </c>
    </row>
    <row r="147" spans="1:27" ht="24.95" customHeight="1" x14ac:dyDescent="0.2">
      <c r="A147" s="6">
        <v>144</v>
      </c>
      <c r="B147" s="9" t="s">
        <v>1081</v>
      </c>
      <c r="C147" s="9"/>
      <c r="D147" s="14" t="s">
        <v>112</v>
      </c>
      <c r="E147" s="14" t="s">
        <v>115</v>
      </c>
      <c r="F147" s="14">
        <v>93</v>
      </c>
      <c r="G147" s="14">
        <v>39982220</v>
      </c>
      <c r="H147" s="18" t="s">
        <v>1148</v>
      </c>
      <c r="I147" s="14" t="s">
        <v>1082</v>
      </c>
      <c r="J147" s="14">
        <v>39470121</v>
      </c>
      <c r="K147" s="14"/>
      <c r="L147" s="6" t="s">
        <v>1160</v>
      </c>
      <c r="M147" s="6">
        <v>39962022</v>
      </c>
      <c r="N147" s="14" t="s">
        <v>1160</v>
      </c>
      <c r="O147" s="14">
        <v>39962022</v>
      </c>
      <c r="P147" s="14"/>
      <c r="Q147" s="14"/>
      <c r="R147" s="14">
        <v>46</v>
      </c>
      <c r="S147" s="14">
        <v>4301</v>
      </c>
      <c r="T147" s="14">
        <v>643</v>
      </c>
      <c r="U147" s="14" t="s">
        <v>580</v>
      </c>
      <c r="V147" s="14" t="s">
        <v>485</v>
      </c>
      <c r="W147" s="14">
        <v>2024</v>
      </c>
      <c r="X147" s="17"/>
      <c r="Y147" s="14"/>
      <c r="Z147" s="14"/>
      <c r="AA147" s="14"/>
    </row>
    <row r="148" spans="1:27" ht="42" customHeight="1" x14ac:dyDescent="0.2">
      <c r="A148" s="6">
        <v>145</v>
      </c>
      <c r="B148" s="48" t="s">
        <v>1156</v>
      </c>
      <c r="C148" s="9"/>
      <c r="D148" s="14" t="s">
        <v>112</v>
      </c>
      <c r="E148" s="14" t="s">
        <v>115</v>
      </c>
      <c r="F148" s="14">
        <v>95</v>
      </c>
      <c r="G148" s="19" t="s">
        <v>1157</v>
      </c>
      <c r="H148" s="18" t="s">
        <v>1150</v>
      </c>
      <c r="I148" s="14" t="s">
        <v>1149</v>
      </c>
      <c r="J148" s="14">
        <v>66627174</v>
      </c>
      <c r="K148" s="14"/>
      <c r="L148" s="14" t="s">
        <v>1166</v>
      </c>
      <c r="M148" s="14" t="s">
        <v>1166</v>
      </c>
      <c r="N148" s="14" t="s">
        <v>1151</v>
      </c>
      <c r="O148" s="14">
        <v>66995356</v>
      </c>
      <c r="P148" s="14"/>
      <c r="Q148" s="14"/>
      <c r="R148" s="14">
        <v>544</v>
      </c>
      <c r="S148" s="14">
        <v>3819</v>
      </c>
      <c r="T148" s="14">
        <v>1038</v>
      </c>
      <c r="U148" s="14" t="s">
        <v>288</v>
      </c>
      <c r="V148" s="14" t="s">
        <v>486</v>
      </c>
      <c r="W148" s="14">
        <v>2025</v>
      </c>
      <c r="X148" s="17"/>
      <c r="Y148" s="14"/>
      <c r="Z148" s="14"/>
      <c r="AA148" s="14"/>
    </row>
    <row r="149" spans="1:27" ht="42" customHeight="1" x14ac:dyDescent="0.15">
      <c r="A149" s="6">
        <v>146</v>
      </c>
      <c r="B149" s="9" t="s">
        <v>1152</v>
      </c>
      <c r="C149" s="9"/>
      <c r="D149" s="14" t="s">
        <v>112</v>
      </c>
      <c r="E149" s="14" t="s">
        <v>115</v>
      </c>
      <c r="F149" s="14" t="s">
        <v>1166</v>
      </c>
      <c r="G149" s="19">
        <v>17262139</v>
      </c>
      <c r="H149" s="18" t="s">
        <v>1159</v>
      </c>
      <c r="I149" s="19" t="s">
        <v>1153</v>
      </c>
      <c r="J149" s="14" t="s">
        <v>1169</v>
      </c>
      <c r="K149" s="14"/>
      <c r="L149" s="14" t="s">
        <v>1164</v>
      </c>
      <c r="M149" s="14">
        <v>38323399</v>
      </c>
      <c r="N149" s="14"/>
      <c r="O149" s="14"/>
      <c r="P149" s="14"/>
      <c r="Q149" s="14"/>
      <c r="R149" s="14" t="s">
        <v>1154</v>
      </c>
      <c r="S149" s="14">
        <v>28</v>
      </c>
      <c r="T149" s="14">
        <v>328</v>
      </c>
      <c r="U149" s="14" t="s">
        <v>1155</v>
      </c>
      <c r="V149" s="14" t="s">
        <v>485</v>
      </c>
      <c r="W149" s="14">
        <v>2025</v>
      </c>
      <c r="X149" s="17"/>
      <c r="Y149" s="14"/>
      <c r="Z149" s="14"/>
      <c r="AA149" s="14"/>
    </row>
    <row r="150" spans="1:27" ht="42" customHeight="1" x14ac:dyDescent="0.2">
      <c r="A150" s="6">
        <v>147</v>
      </c>
      <c r="B150" s="38" t="s">
        <v>1131</v>
      </c>
      <c r="C150" s="38"/>
      <c r="D150" s="39" t="s">
        <v>112</v>
      </c>
      <c r="E150" s="39" t="s">
        <v>1084</v>
      </c>
      <c r="F150" s="39">
        <v>100</v>
      </c>
      <c r="G150" s="39" t="s">
        <v>1168</v>
      </c>
      <c r="H150" s="55" t="s">
        <v>1142</v>
      </c>
      <c r="I150" s="39" t="s">
        <v>642</v>
      </c>
      <c r="J150" s="39">
        <v>39220844</v>
      </c>
      <c r="K150" s="41"/>
      <c r="L150" s="41" t="s">
        <v>1169</v>
      </c>
      <c r="M150" s="41" t="s">
        <v>1169</v>
      </c>
      <c r="N150" s="39" t="s">
        <v>642</v>
      </c>
      <c r="O150" s="39">
        <v>39220844</v>
      </c>
      <c r="P150" s="39"/>
      <c r="Q150" s="39"/>
      <c r="R150" s="39">
        <v>395</v>
      </c>
      <c r="S150" s="39">
        <v>2219</v>
      </c>
      <c r="T150" s="39">
        <v>422</v>
      </c>
      <c r="U150" s="39" t="s">
        <v>408</v>
      </c>
      <c r="V150" s="39" t="s">
        <v>485</v>
      </c>
      <c r="W150" s="39">
        <v>2025</v>
      </c>
      <c r="X150" s="43"/>
      <c r="Y150" s="39"/>
      <c r="Z150" s="39"/>
      <c r="AA150" s="39"/>
    </row>
    <row r="151" spans="1:27" ht="30.75" customHeight="1" x14ac:dyDescent="0.15">
      <c r="A151" s="6">
        <v>148</v>
      </c>
      <c r="B151" s="38" t="s">
        <v>125</v>
      </c>
      <c r="C151" s="38"/>
      <c r="D151" s="39" t="s">
        <v>113</v>
      </c>
      <c r="E151" s="41" t="s">
        <v>1084</v>
      </c>
      <c r="F151" s="39">
        <v>88</v>
      </c>
      <c r="G151" s="39">
        <v>17644808</v>
      </c>
      <c r="H151" s="39" t="s">
        <v>410</v>
      </c>
      <c r="I151" s="39" t="s">
        <v>411</v>
      </c>
      <c r="J151" s="39">
        <v>39456669</v>
      </c>
      <c r="K151" s="39"/>
      <c r="L151" s="39" t="s">
        <v>412</v>
      </c>
      <c r="M151" s="39">
        <v>33986635</v>
      </c>
      <c r="N151" s="39" t="s">
        <v>411</v>
      </c>
      <c r="O151" s="39">
        <v>39456669</v>
      </c>
      <c r="P151" s="39" t="s">
        <v>411</v>
      </c>
      <c r="Q151" s="39">
        <v>39456669</v>
      </c>
      <c r="R151" s="39">
        <v>1316</v>
      </c>
      <c r="S151" s="39">
        <v>3436</v>
      </c>
      <c r="T151" s="39">
        <v>734</v>
      </c>
      <c r="U151" s="39" t="s">
        <v>413</v>
      </c>
      <c r="V151" s="39" t="s">
        <v>486</v>
      </c>
      <c r="W151" s="39">
        <v>2020</v>
      </c>
      <c r="X151" s="43" t="s">
        <v>896</v>
      </c>
      <c r="Y151" s="40"/>
      <c r="Z151" s="39" t="s">
        <v>409</v>
      </c>
      <c r="AA151" s="39">
        <v>5</v>
      </c>
    </row>
    <row r="152" spans="1:27" ht="25.5" customHeight="1" x14ac:dyDescent="0.2">
      <c r="A152" s="6">
        <v>149</v>
      </c>
      <c r="B152" s="38" t="s">
        <v>25</v>
      </c>
      <c r="C152" s="38"/>
      <c r="D152" s="39" t="s">
        <v>113</v>
      </c>
      <c r="E152" s="39" t="s">
        <v>1084</v>
      </c>
      <c r="F152" s="39">
        <v>91</v>
      </c>
      <c r="G152" s="39">
        <v>17790905</v>
      </c>
      <c r="H152" s="39" t="s">
        <v>440</v>
      </c>
      <c r="I152" s="39" t="s">
        <v>441</v>
      </c>
      <c r="J152" s="39">
        <v>39460676</v>
      </c>
      <c r="K152" s="39"/>
      <c r="L152" s="39" t="s">
        <v>441</v>
      </c>
      <c r="M152" s="39">
        <v>39460676</v>
      </c>
      <c r="N152" s="39" t="s">
        <v>442</v>
      </c>
      <c r="O152" s="39">
        <v>39961212</v>
      </c>
      <c r="P152" s="39" t="s">
        <v>443</v>
      </c>
      <c r="Q152" s="39">
        <v>39961212</v>
      </c>
      <c r="R152" s="39">
        <v>380</v>
      </c>
      <c r="S152" s="39">
        <v>2314</v>
      </c>
      <c r="T152" s="39">
        <v>523</v>
      </c>
      <c r="U152" s="39" t="s">
        <v>295</v>
      </c>
      <c r="V152" s="39" t="s">
        <v>486</v>
      </c>
      <c r="W152" s="39">
        <v>1999</v>
      </c>
      <c r="X152" s="43" t="s">
        <v>918</v>
      </c>
      <c r="Y152" s="40"/>
      <c r="Z152" s="39" t="s">
        <v>542</v>
      </c>
      <c r="AA152" s="39">
        <v>6</v>
      </c>
    </row>
    <row r="153" spans="1:27" ht="24.95" customHeight="1" x14ac:dyDescent="0.15">
      <c r="A153" s="6">
        <v>150</v>
      </c>
      <c r="B153" s="34" t="s">
        <v>37</v>
      </c>
      <c r="C153" s="34"/>
      <c r="D153" s="35" t="s">
        <v>113</v>
      </c>
      <c r="E153" s="35" t="s">
        <v>862</v>
      </c>
      <c r="F153" s="35">
        <v>95</v>
      </c>
      <c r="G153" s="35">
        <v>17699418</v>
      </c>
      <c r="H153" s="36" t="s">
        <v>746</v>
      </c>
      <c r="I153" s="37" t="s">
        <v>747</v>
      </c>
      <c r="J153" s="35">
        <v>36710610</v>
      </c>
      <c r="K153" s="35"/>
      <c r="L153" s="37" t="s">
        <v>747</v>
      </c>
      <c r="M153" s="35">
        <v>36710610</v>
      </c>
      <c r="N153" s="37" t="s">
        <v>747</v>
      </c>
      <c r="O153" s="35">
        <v>36710610</v>
      </c>
      <c r="P153" s="35"/>
      <c r="Q153" s="35"/>
      <c r="R153" s="35"/>
      <c r="S153" s="35"/>
      <c r="T153" s="35"/>
      <c r="U153" s="35"/>
      <c r="V153" s="35"/>
      <c r="W153" s="35">
        <v>2002</v>
      </c>
      <c r="X153" s="44" t="s">
        <v>989</v>
      </c>
      <c r="Y153" s="35"/>
      <c r="Z153" s="35" t="s">
        <v>840</v>
      </c>
      <c r="AA153" s="35"/>
    </row>
    <row r="154" spans="1:27" ht="24.95" customHeight="1" x14ac:dyDescent="0.2">
      <c r="A154" s="6">
        <v>151</v>
      </c>
      <c r="B154" s="34" t="s">
        <v>9</v>
      </c>
      <c r="C154" s="34"/>
      <c r="D154" s="35" t="s">
        <v>113</v>
      </c>
      <c r="E154" s="35" t="s">
        <v>862</v>
      </c>
      <c r="F154" s="35">
        <v>200</v>
      </c>
      <c r="G154" s="35">
        <v>17591915</v>
      </c>
      <c r="H154" s="36" t="s">
        <v>770</v>
      </c>
      <c r="I154" s="35" t="s">
        <v>771</v>
      </c>
      <c r="J154" s="35">
        <v>39620072</v>
      </c>
      <c r="K154" s="35"/>
      <c r="L154" s="35" t="s">
        <v>771</v>
      </c>
      <c r="M154" s="35">
        <v>39620072</v>
      </c>
      <c r="N154" s="35" t="s">
        <v>771</v>
      </c>
      <c r="O154" s="35">
        <v>39620072</v>
      </c>
      <c r="P154" s="35"/>
      <c r="Q154" s="35"/>
      <c r="R154" s="35"/>
      <c r="S154" s="35"/>
      <c r="T154" s="35"/>
      <c r="U154" s="35"/>
      <c r="V154" s="35"/>
      <c r="W154" s="35">
        <v>2001</v>
      </c>
      <c r="X154" s="44" t="s">
        <v>1020</v>
      </c>
      <c r="Y154" s="35"/>
      <c r="Z154" s="35" t="s">
        <v>827</v>
      </c>
      <c r="AA154" s="35"/>
    </row>
    <row r="155" spans="1:27" ht="24.95" customHeight="1" x14ac:dyDescent="0.2">
      <c r="A155" s="6">
        <v>152</v>
      </c>
      <c r="B155" s="34" t="s">
        <v>538</v>
      </c>
      <c r="C155" s="34"/>
      <c r="D155" s="35" t="s">
        <v>113</v>
      </c>
      <c r="E155" s="35" t="s">
        <v>862</v>
      </c>
      <c r="F155" s="35">
        <v>66</v>
      </c>
      <c r="G155" s="35">
        <v>17251121</v>
      </c>
      <c r="H155" s="36" t="s">
        <v>541</v>
      </c>
      <c r="I155" s="35" t="s">
        <v>539</v>
      </c>
      <c r="J155" s="35">
        <v>39452661</v>
      </c>
      <c r="K155" s="35"/>
      <c r="L155" s="35" t="s">
        <v>540</v>
      </c>
      <c r="M155" s="35">
        <v>33320343</v>
      </c>
      <c r="N155" s="35" t="s">
        <v>539</v>
      </c>
      <c r="O155" s="35">
        <v>39452661</v>
      </c>
      <c r="P155" s="35" t="s">
        <v>539</v>
      </c>
      <c r="Q155" s="35">
        <v>39452661</v>
      </c>
      <c r="R155" s="35"/>
      <c r="S155" s="35"/>
      <c r="T155" s="35"/>
      <c r="U155" s="35"/>
      <c r="V155" s="35"/>
      <c r="W155" s="35">
        <v>1996</v>
      </c>
      <c r="X155" s="44" t="s">
        <v>1022</v>
      </c>
      <c r="Y155" s="35"/>
      <c r="Z155" s="35" t="s">
        <v>817</v>
      </c>
      <c r="AA155" s="35">
        <v>4</v>
      </c>
    </row>
    <row r="156" spans="1:27" ht="24.95" customHeight="1" x14ac:dyDescent="0.2">
      <c r="A156" s="6">
        <v>153</v>
      </c>
      <c r="B156" s="34" t="s">
        <v>512</v>
      </c>
      <c r="C156" s="34"/>
      <c r="D156" s="35" t="s">
        <v>113</v>
      </c>
      <c r="E156" s="35" t="s">
        <v>862</v>
      </c>
      <c r="F156" s="35" t="s">
        <v>862</v>
      </c>
      <c r="G156" s="35" t="s">
        <v>773</v>
      </c>
      <c r="H156" s="36" t="s">
        <v>774</v>
      </c>
      <c r="I156" s="35" t="s">
        <v>1169</v>
      </c>
      <c r="J156" s="35" t="s">
        <v>1169</v>
      </c>
      <c r="K156" s="35"/>
      <c r="L156" s="35" t="s">
        <v>1169</v>
      </c>
      <c r="M156" s="35" t="s">
        <v>1169</v>
      </c>
      <c r="N156" s="35"/>
      <c r="O156" s="35"/>
      <c r="P156" s="35"/>
      <c r="Q156" s="35"/>
      <c r="R156" s="35"/>
      <c r="S156" s="35"/>
      <c r="T156" s="35"/>
      <c r="U156" s="35"/>
      <c r="V156" s="35"/>
      <c r="W156" s="35">
        <v>2006</v>
      </c>
      <c r="X156" s="44" t="s">
        <v>930</v>
      </c>
      <c r="Y156" s="35"/>
      <c r="Z156" s="35" t="s">
        <v>812</v>
      </c>
      <c r="AA156" s="35"/>
    </row>
    <row r="157" spans="1:27" ht="24.95" customHeight="1" x14ac:dyDescent="0.15">
      <c r="A157" s="6">
        <v>154</v>
      </c>
      <c r="B157" s="34" t="s">
        <v>76</v>
      </c>
      <c r="C157" s="34"/>
      <c r="D157" s="35" t="s">
        <v>113</v>
      </c>
      <c r="E157" s="35" t="s">
        <v>862</v>
      </c>
      <c r="F157" s="35">
        <v>63</v>
      </c>
      <c r="G157" s="35">
        <v>37730199</v>
      </c>
      <c r="H157" s="35" t="s">
        <v>778</v>
      </c>
      <c r="I157" s="35" t="s">
        <v>779</v>
      </c>
      <c r="J157" s="35">
        <v>36405888</v>
      </c>
      <c r="K157" s="35"/>
      <c r="L157" s="37" t="s">
        <v>780</v>
      </c>
      <c r="M157" s="37">
        <v>37730199</v>
      </c>
      <c r="N157" s="37" t="s">
        <v>780</v>
      </c>
      <c r="O157" s="37">
        <v>37730199</v>
      </c>
      <c r="P157" s="35"/>
      <c r="Q157" s="35"/>
      <c r="R157" s="35"/>
      <c r="S157" s="35"/>
      <c r="T157" s="35"/>
      <c r="U157" s="35"/>
      <c r="V157" s="35"/>
      <c r="W157" s="35">
        <v>2012</v>
      </c>
      <c r="X157" s="44" t="s">
        <v>1023</v>
      </c>
      <c r="Y157" s="35"/>
      <c r="Z157" s="35"/>
      <c r="AA157" s="35"/>
    </row>
    <row r="158" spans="1:27" ht="24.95" customHeight="1" x14ac:dyDescent="0.2">
      <c r="A158" s="6">
        <v>155</v>
      </c>
      <c r="B158" s="34" t="s">
        <v>31</v>
      </c>
      <c r="C158" s="34"/>
      <c r="D158" s="35" t="s">
        <v>113</v>
      </c>
      <c r="E158" s="35" t="s">
        <v>862</v>
      </c>
      <c r="F158" s="35" t="s">
        <v>862</v>
      </c>
      <c r="G158" s="35" t="s">
        <v>1169</v>
      </c>
      <c r="H158" s="36" t="s">
        <v>768</v>
      </c>
      <c r="I158" s="35" t="s">
        <v>769</v>
      </c>
      <c r="J158" s="35">
        <v>39852380</v>
      </c>
      <c r="K158" s="35"/>
      <c r="L158" s="35" t="s">
        <v>1169</v>
      </c>
      <c r="M158" s="35" t="s">
        <v>1169</v>
      </c>
      <c r="N158" s="35"/>
      <c r="O158" s="35"/>
      <c r="P158" s="35"/>
      <c r="Q158" s="35"/>
      <c r="R158" s="35"/>
      <c r="S158" s="35"/>
      <c r="T158" s="35"/>
      <c r="U158" s="35"/>
      <c r="V158" s="35"/>
      <c r="W158" s="35">
        <v>2009</v>
      </c>
      <c r="X158" s="44" t="s">
        <v>1024</v>
      </c>
      <c r="Y158" s="35"/>
      <c r="Z158" s="35" t="s">
        <v>841</v>
      </c>
      <c r="AA158" s="35"/>
    </row>
    <row r="159" spans="1:27" ht="24.75" customHeight="1" x14ac:dyDescent="0.2">
      <c r="A159" s="6">
        <v>156</v>
      </c>
      <c r="B159" s="34" t="s">
        <v>118</v>
      </c>
      <c r="C159" s="34"/>
      <c r="D159" s="35" t="s">
        <v>112</v>
      </c>
      <c r="E159" s="35" t="s">
        <v>862</v>
      </c>
      <c r="F159" s="35">
        <v>85</v>
      </c>
      <c r="G159" s="35">
        <v>77814947</v>
      </c>
      <c r="H159" s="46" t="s">
        <v>1040</v>
      </c>
      <c r="I159" s="35" t="s">
        <v>366</v>
      </c>
      <c r="J159" s="35" t="s">
        <v>1169</v>
      </c>
      <c r="K159" s="35"/>
      <c r="L159" s="35" t="s">
        <v>666</v>
      </c>
      <c r="M159" s="35">
        <v>33221002</v>
      </c>
      <c r="N159" s="35" t="s">
        <v>665</v>
      </c>
      <c r="O159" s="35">
        <v>38388308</v>
      </c>
      <c r="P159" s="35" t="s">
        <v>665</v>
      </c>
      <c r="Q159" s="35">
        <v>38388308</v>
      </c>
      <c r="R159" s="35"/>
      <c r="S159" s="35"/>
      <c r="T159" s="35"/>
      <c r="U159" s="35"/>
      <c r="V159" s="35"/>
      <c r="W159" s="35">
        <v>2020</v>
      </c>
      <c r="X159" s="44" t="s">
        <v>1025</v>
      </c>
      <c r="Y159" s="35"/>
      <c r="Z159" s="35" t="s">
        <v>667</v>
      </c>
      <c r="AA159" s="35">
        <v>5</v>
      </c>
    </row>
    <row r="160" spans="1:27" ht="24.75" customHeight="1" x14ac:dyDescent="0.2">
      <c r="A160" s="6">
        <v>157</v>
      </c>
      <c r="B160" s="34" t="s">
        <v>137</v>
      </c>
      <c r="C160" s="34"/>
      <c r="D160" s="35" t="s">
        <v>113</v>
      </c>
      <c r="E160" s="35" t="s">
        <v>862</v>
      </c>
      <c r="F160" s="35">
        <v>160</v>
      </c>
      <c r="G160" s="35">
        <v>34155441</v>
      </c>
      <c r="H160" s="35" t="s">
        <v>394</v>
      </c>
      <c r="I160" s="35" t="s">
        <v>395</v>
      </c>
      <c r="J160" s="35">
        <v>39698122</v>
      </c>
      <c r="K160" s="35"/>
      <c r="L160" s="35" t="s">
        <v>395</v>
      </c>
      <c r="M160" s="35">
        <v>34155441</v>
      </c>
      <c r="N160" s="35" t="s">
        <v>395</v>
      </c>
      <c r="O160" s="35">
        <v>34155441</v>
      </c>
      <c r="P160" s="35" t="s">
        <v>396</v>
      </c>
      <c r="Q160" s="35" t="s">
        <v>397</v>
      </c>
      <c r="R160" s="35"/>
      <c r="S160" s="35"/>
      <c r="T160" s="35"/>
      <c r="U160" s="35"/>
      <c r="V160" s="35"/>
      <c r="W160" s="35">
        <v>2022</v>
      </c>
      <c r="X160" s="44" t="s">
        <v>1026</v>
      </c>
      <c r="Y160" s="35"/>
      <c r="Z160" s="35" t="s">
        <v>679</v>
      </c>
      <c r="AA160" s="35">
        <v>8</v>
      </c>
    </row>
    <row r="161" spans="1:27" ht="24.95" customHeight="1" x14ac:dyDescent="0.2">
      <c r="A161" s="6">
        <v>158</v>
      </c>
      <c r="B161" s="34" t="s">
        <v>71</v>
      </c>
      <c r="C161" s="34"/>
      <c r="D161" s="35" t="s">
        <v>113</v>
      </c>
      <c r="E161" s="35" t="s">
        <v>862</v>
      </c>
      <c r="F161" s="35" t="s">
        <v>862</v>
      </c>
      <c r="G161" s="35">
        <v>34478807</v>
      </c>
      <c r="H161" s="36" t="s">
        <v>758</v>
      </c>
      <c r="I161" s="35" t="s">
        <v>759</v>
      </c>
      <c r="J161" s="35">
        <v>33944768</v>
      </c>
      <c r="K161" s="35"/>
      <c r="L161" s="35" t="s">
        <v>760</v>
      </c>
      <c r="M161" s="35">
        <v>39630796</v>
      </c>
      <c r="N161" s="35"/>
      <c r="O161" s="35"/>
      <c r="P161" s="35"/>
      <c r="Q161" s="35"/>
      <c r="R161" s="35"/>
      <c r="S161" s="35"/>
      <c r="T161" s="35"/>
      <c r="U161" s="35"/>
      <c r="V161" s="35"/>
      <c r="W161" s="35">
        <v>2009</v>
      </c>
      <c r="X161" s="44" t="s">
        <v>1027</v>
      </c>
      <c r="Y161" s="35"/>
      <c r="Z161" s="35" t="s">
        <v>850</v>
      </c>
      <c r="AA161" s="35"/>
    </row>
    <row r="162" spans="1:27" ht="24.95" customHeight="1" x14ac:dyDescent="0.2">
      <c r="A162" s="6">
        <v>159</v>
      </c>
      <c r="B162" s="2" t="s">
        <v>48</v>
      </c>
      <c r="C162" s="2"/>
      <c r="D162" s="12" t="s">
        <v>113</v>
      </c>
      <c r="E162" s="12" t="s">
        <v>864</v>
      </c>
      <c r="F162" s="12">
        <v>81</v>
      </c>
      <c r="G162" s="12">
        <v>33140050</v>
      </c>
      <c r="H162" s="56" t="s">
        <v>341</v>
      </c>
      <c r="I162" s="12" t="s">
        <v>638</v>
      </c>
      <c r="J162" s="12">
        <v>39276276</v>
      </c>
      <c r="K162" s="12"/>
      <c r="L162" s="12" t="s">
        <v>788</v>
      </c>
      <c r="M162" s="12">
        <v>39899770</v>
      </c>
      <c r="N162" s="12" t="s">
        <v>342</v>
      </c>
      <c r="O162" s="12">
        <v>33140050</v>
      </c>
      <c r="P162" s="12" t="s">
        <v>342</v>
      </c>
      <c r="Q162" s="12">
        <v>33140050</v>
      </c>
      <c r="R162" s="12">
        <v>1373</v>
      </c>
      <c r="S162" s="12">
        <v>840</v>
      </c>
      <c r="T162" s="12">
        <v>608</v>
      </c>
      <c r="U162" s="12" t="s">
        <v>193</v>
      </c>
      <c r="V162" s="12" t="s">
        <v>485</v>
      </c>
      <c r="W162" s="12">
        <v>2005</v>
      </c>
      <c r="X162" s="45" t="s">
        <v>987</v>
      </c>
      <c r="Y162" s="57"/>
      <c r="Z162" s="12" t="s">
        <v>639</v>
      </c>
      <c r="AA162" s="12">
        <v>8</v>
      </c>
    </row>
    <row r="163" spans="1:27" ht="33.75" customHeight="1" x14ac:dyDescent="0.2">
      <c r="A163" s="6">
        <v>160</v>
      </c>
      <c r="B163" s="2" t="s">
        <v>1093</v>
      </c>
      <c r="C163" s="2"/>
      <c r="D163" s="12" t="s">
        <v>113</v>
      </c>
      <c r="E163" s="12" t="s">
        <v>864</v>
      </c>
      <c r="F163" s="12">
        <v>178</v>
      </c>
      <c r="G163" s="12">
        <v>32319696</v>
      </c>
      <c r="H163" s="54" t="s">
        <v>872</v>
      </c>
      <c r="I163" s="12" t="s">
        <v>344</v>
      </c>
      <c r="J163" s="12">
        <v>36781877</v>
      </c>
      <c r="K163" s="12"/>
      <c r="L163" s="12" t="s">
        <v>1069</v>
      </c>
      <c r="M163" s="12">
        <v>36781877</v>
      </c>
      <c r="N163" s="12" t="s">
        <v>870</v>
      </c>
      <c r="O163" s="12">
        <v>36781877</v>
      </c>
      <c r="P163" s="12"/>
      <c r="Q163" s="12"/>
      <c r="R163" s="12"/>
      <c r="S163" s="12"/>
      <c r="T163" s="12"/>
      <c r="U163" s="12"/>
      <c r="V163" s="12"/>
      <c r="W163" s="12">
        <v>2022</v>
      </c>
      <c r="X163" s="45" t="s">
        <v>1014</v>
      </c>
      <c r="Y163" s="12"/>
      <c r="Z163" s="12" t="s">
        <v>852</v>
      </c>
      <c r="AA163" s="12"/>
    </row>
    <row r="164" spans="1:27" ht="33.75" customHeight="1" x14ac:dyDescent="0.2">
      <c r="A164" s="6">
        <v>161</v>
      </c>
      <c r="B164" s="2" t="s">
        <v>547</v>
      </c>
      <c r="C164" s="2"/>
      <c r="D164" s="12" t="s">
        <v>113</v>
      </c>
      <c r="E164" s="12" t="s">
        <v>864</v>
      </c>
      <c r="F164" s="12">
        <v>100</v>
      </c>
      <c r="G164" s="12">
        <v>17723494</v>
      </c>
      <c r="H164" s="50" t="s">
        <v>859</v>
      </c>
      <c r="I164" s="12" t="s">
        <v>217</v>
      </c>
      <c r="J164" s="12">
        <v>17293171</v>
      </c>
      <c r="K164" s="12"/>
      <c r="L164" s="12" t="s">
        <v>218</v>
      </c>
      <c r="M164" s="12">
        <v>35327933</v>
      </c>
      <c r="N164" s="12" t="s">
        <v>218</v>
      </c>
      <c r="O164" s="12">
        <v>35327933</v>
      </c>
      <c r="P164" s="12" t="s">
        <v>218</v>
      </c>
      <c r="Q164" s="12" t="s">
        <v>219</v>
      </c>
      <c r="R164" s="12"/>
      <c r="S164" s="12"/>
      <c r="T164" s="12"/>
      <c r="U164" s="12"/>
      <c r="V164" s="12"/>
      <c r="W164" s="12">
        <v>1978</v>
      </c>
      <c r="X164" s="45" t="s">
        <v>920</v>
      </c>
      <c r="Y164" s="12"/>
      <c r="Z164" s="45" t="s">
        <v>855</v>
      </c>
      <c r="AA164" s="12">
        <v>5</v>
      </c>
    </row>
    <row r="165" spans="1:27" ht="33.75" customHeight="1" x14ac:dyDescent="0.2">
      <c r="A165" s="6">
        <v>162</v>
      </c>
      <c r="B165" s="2" t="s">
        <v>1085</v>
      </c>
      <c r="C165" s="2" t="s">
        <v>1085</v>
      </c>
      <c r="D165" s="12" t="s">
        <v>112</v>
      </c>
      <c r="E165" s="12" t="s">
        <v>864</v>
      </c>
      <c r="F165" s="12">
        <v>73</v>
      </c>
      <c r="G165" s="12">
        <v>17791491</v>
      </c>
      <c r="H165" s="12" t="s">
        <v>653</v>
      </c>
      <c r="I165" s="12" t="s">
        <v>654</v>
      </c>
      <c r="J165" s="12">
        <v>39666322</v>
      </c>
      <c r="K165" s="12"/>
      <c r="L165" s="12" t="s">
        <v>651</v>
      </c>
      <c r="M165" s="12">
        <v>39666311</v>
      </c>
      <c r="N165" s="12" t="s">
        <v>651</v>
      </c>
      <c r="O165" s="12">
        <v>39666311</v>
      </c>
      <c r="P165" s="12" t="s">
        <v>651</v>
      </c>
      <c r="Q165" s="12" t="s">
        <v>652</v>
      </c>
      <c r="R165" s="12"/>
      <c r="S165" s="12"/>
      <c r="T165" s="12"/>
      <c r="U165" s="12"/>
      <c r="V165" s="12"/>
      <c r="W165" s="12">
        <v>2009</v>
      </c>
      <c r="X165" s="45" t="s">
        <v>1018</v>
      </c>
      <c r="Y165" s="12"/>
      <c r="Z165" s="12" t="s">
        <v>843</v>
      </c>
      <c r="AA165" s="12">
        <v>2</v>
      </c>
    </row>
    <row r="166" spans="1:27" ht="24.95" customHeight="1" x14ac:dyDescent="0.2">
      <c r="A166" s="6">
        <v>163</v>
      </c>
      <c r="B166" s="2" t="s">
        <v>3</v>
      </c>
      <c r="C166" s="2"/>
      <c r="D166" s="12" t="s">
        <v>113</v>
      </c>
      <c r="E166" s="12" t="s">
        <v>864</v>
      </c>
      <c r="F166" s="12" t="s">
        <v>114</v>
      </c>
      <c r="G166" s="12" t="s">
        <v>1169</v>
      </c>
      <c r="H166" s="12" t="s">
        <v>1169</v>
      </c>
      <c r="I166" s="12" t="s">
        <v>1169</v>
      </c>
      <c r="J166" s="12" t="s">
        <v>1169</v>
      </c>
      <c r="K166" s="12"/>
      <c r="L166" s="12" t="s">
        <v>1169</v>
      </c>
      <c r="M166" s="12" t="s">
        <v>1169</v>
      </c>
      <c r="N166" s="12"/>
      <c r="O166" s="12"/>
      <c r="P166" s="12"/>
      <c r="Q166" s="12"/>
      <c r="R166" s="12"/>
      <c r="S166" s="12"/>
      <c r="T166" s="12"/>
      <c r="U166" s="12"/>
      <c r="V166" s="12"/>
      <c r="W166" s="12">
        <v>1985</v>
      </c>
      <c r="X166" s="45" t="s">
        <v>1029</v>
      </c>
      <c r="Y166" s="12"/>
      <c r="Z166" s="12"/>
      <c r="AA166" s="12"/>
    </row>
    <row r="167" spans="1:27" ht="24.95" customHeight="1" x14ac:dyDescent="0.2">
      <c r="A167" s="6">
        <v>164</v>
      </c>
      <c r="B167" s="2" t="s">
        <v>22</v>
      </c>
      <c r="C167" s="2"/>
      <c r="D167" s="12" t="s">
        <v>113</v>
      </c>
      <c r="E167" s="12" t="s">
        <v>864</v>
      </c>
      <c r="F167" s="12" t="s">
        <v>114</v>
      </c>
      <c r="G167" s="12" t="s">
        <v>1169</v>
      </c>
      <c r="H167" s="12" t="s">
        <v>1169</v>
      </c>
      <c r="I167" s="12" t="s">
        <v>1169</v>
      </c>
      <c r="J167" s="12" t="s">
        <v>1169</v>
      </c>
      <c r="K167" s="12"/>
      <c r="L167" s="12" t="s">
        <v>1169</v>
      </c>
      <c r="M167" s="12" t="s">
        <v>1169</v>
      </c>
      <c r="N167" s="12"/>
      <c r="O167" s="12"/>
      <c r="P167" s="12"/>
      <c r="Q167" s="12"/>
      <c r="R167" s="12"/>
      <c r="S167" s="12"/>
      <c r="T167" s="12"/>
      <c r="U167" s="12"/>
      <c r="V167" s="12"/>
      <c r="W167" s="12">
        <v>1997</v>
      </c>
      <c r="X167" s="45" t="s">
        <v>1030</v>
      </c>
      <c r="Y167" s="12"/>
      <c r="Z167" s="12" t="s">
        <v>853</v>
      </c>
      <c r="AA167" s="12"/>
    </row>
    <row r="168" spans="1:27" ht="24.95" customHeight="1" x14ac:dyDescent="0.2">
      <c r="A168" s="6">
        <v>165</v>
      </c>
      <c r="B168" s="2" t="s">
        <v>34</v>
      </c>
      <c r="C168" s="2"/>
      <c r="D168" s="12" t="s">
        <v>113</v>
      </c>
      <c r="E168" s="12" t="s">
        <v>864</v>
      </c>
      <c r="F168" s="12" t="s">
        <v>114</v>
      </c>
      <c r="G168" s="12" t="s">
        <v>1169</v>
      </c>
      <c r="H168" s="12" t="s">
        <v>1169</v>
      </c>
      <c r="I168" s="12" t="s">
        <v>1169</v>
      </c>
      <c r="J168" s="12" t="s">
        <v>1169</v>
      </c>
      <c r="K168" s="12"/>
      <c r="L168" s="12" t="s">
        <v>1169</v>
      </c>
      <c r="M168" s="12" t="s">
        <v>1169</v>
      </c>
      <c r="N168" s="12"/>
      <c r="O168" s="12"/>
      <c r="P168" s="12"/>
      <c r="Q168" s="12"/>
      <c r="R168" s="12"/>
      <c r="S168" s="12"/>
      <c r="T168" s="12"/>
      <c r="U168" s="12"/>
      <c r="V168" s="12"/>
      <c r="W168" s="12">
        <v>2011</v>
      </c>
      <c r="X168" s="45" t="s">
        <v>1031</v>
      </c>
      <c r="Y168" s="12"/>
      <c r="Z168" s="12" t="s">
        <v>854</v>
      </c>
      <c r="AA168" s="12"/>
    </row>
    <row r="169" spans="1:27" ht="24.95" customHeight="1" thickBot="1" x14ac:dyDescent="0.25"/>
    <row r="170" spans="1:27" ht="24.95" customHeight="1" x14ac:dyDescent="0.2">
      <c r="B170" s="58" t="s">
        <v>143</v>
      </c>
      <c r="C170" s="59"/>
      <c r="D170" s="47"/>
    </row>
    <row r="171" spans="1:27" ht="24.95" customHeight="1" x14ac:dyDescent="0.25">
      <c r="B171" s="27" t="s">
        <v>144</v>
      </c>
      <c r="C171" s="28">
        <f>SUM(C172:C174)</f>
        <v>165</v>
      </c>
    </row>
    <row r="172" spans="1:27" ht="24.95" customHeight="1" x14ac:dyDescent="0.25">
      <c r="B172" s="10" t="s">
        <v>113</v>
      </c>
      <c r="C172" s="7">
        <f>COUNTIF(D4:D168,"وطنية")</f>
        <v>139</v>
      </c>
    </row>
    <row r="173" spans="1:27" ht="24.95" customHeight="1" x14ac:dyDescent="0.25">
      <c r="B173" s="10" t="s">
        <v>112</v>
      </c>
      <c r="C173" s="7">
        <f>COUNTIF(D4:D168,"أجنبية")</f>
        <v>26</v>
      </c>
    </row>
    <row r="174" spans="1:27" ht="24.95" customHeight="1" thickBot="1" x14ac:dyDescent="0.3">
      <c r="B174" s="11" t="s">
        <v>142</v>
      </c>
      <c r="C174" s="8">
        <f>COUNTIF(D4:D168,"جاليات")</f>
        <v>0</v>
      </c>
    </row>
    <row r="175" spans="1:27" ht="24.95" customHeight="1" thickBot="1" x14ac:dyDescent="0.25"/>
    <row r="176" spans="1:27" ht="24.95" customHeight="1" x14ac:dyDescent="0.2">
      <c r="B176" s="58" t="s">
        <v>146</v>
      </c>
      <c r="C176" s="59"/>
      <c r="D176" s="47"/>
    </row>
    <row r="177" spans="2:4" ht="24.95" customHeight="1" x14ac:dyDescent="0.25">
      <c r="B177" s="29" t="s">
        <v>115</v>
      </c>
      <c r="C177" s="7">
        <f>COUNTIF(E4:E168,"نشطة")</f>
        <v>146</v>
      </c>
    </row>
    <row r="178" spans="2:4" ht="24.95" customHeight="1" x14ac:dyDescent="0.25">
      <c r="B178" s="30" t="s">
        <v>864</v>
      </c>
      <c r="C178" s="7">
        <f>COUNTIF(E4:E168,"متوقفة عن العمل")</f>
        <v>7</v>
      </c>
    </row>
    <row r="179" spans="2:4" ht="24.95" customHeight="1" x14ac:dyDescent="0.25">
      <c r="B179" s="31" t="s">
        <v>862</v>
      </c>
      <c r="C179" s="7">
        <f>COUNTIF(E4:E168,"تغيير مبنى")</f>
        <v>9</v>
      </c>
    </row>
    <row r="180" spans="2:4" ht="24.95" customHeight="1" thickBot="1" x14ac:dyDescent="0.3">
      <c r="B180" s="32" t="s">
        <v>1084</v>
      </c>
      <c r="C180" s="33">
        <f>COUNTIF(E4:E168,"تأجيل دراسة")</f>
        <v>3</v>
      </c>
    </row>
    <row r="181" spans="2:4" ht="24.95" customHeight="1" thickBot="1" x14ac:dyDescent="0.25"/>
    <row r="182" spans="2:4" ht="24.95" customHeight="1" x14ac:dyDescent="0.2">
      <c r="B182" s="58" t="s">
        <v>488</v>
      </c>
      <c r="C182" s="59"/>
      <c r="D182" s="47"/>
    </row>
    <row r="183" spans="2:4" ht="24.95" customHeight="1" x14ac:dyDescent="0.25">
      <c r="B183" s="10" t="s">
        <v>484</v>
      </c>
      <c r="C183" s="7">
        <f>COUNTIF(V4:V168,"محافظة المحرق")</f>
        <v>25</v>
      </c>
    </row>
    <row r="184" spans="2:4" ht="24.95" customHeight="1" x14ac:dyDescent="0.25">
      <c r="B184" s="10" t="s">
        <v>485</v>
      </c>
      <c r="C184" s="7">
        <f>COUNTIF(V4:V168,"محافظة العاصمة")</f>
        <v>37</v>
      </c>
    </row>
    <row r="185" spans="2:4" ht="24.95" customHeight="1" x14ac:dyDescent="0.25">
      <c r="B185" s="10" t="s">
        <v>486</v>
      </c>
      <c r="C185" s="7">
        <f>COUNTIF(V4:V168,"المحافظة الشمالية")</f>
        <v>58</v>
      </c>
    </row>
    <row r="186" spans="2:4" ht="24.95" customHeight="1" thickBot="1" x14ac:dyDescent="0.3">
      <c r="B186" s="11" t="s">
        <v>487</v>
      </c>
      <c r="C186" s="8">
        <f>COUNTIF(V4:V168,"المحافظة الجنوبية")</f>
        <v>30</v>
      </c>
    </row>
  </sheetData>
  <sortState xmlns:xlrd2="http://schemas.microsoft.com/office/spreadsheetml/2017/richdata2" ref="B5:V168">
    <sortCondition sortBy="cellColor" ref="B5:B168" dxfId="4"/>
    <sortCondition sortBy="cellColor" ref="B5:B168" dxfId="3"/>
    <sortCondition sortBy="cellColor" ref="B5:B168" dxfId="2"/>
    <sortCondition sortBy="cellColor" ref="B5:B168" dxfId="1"/>
    <sortCondition sortBy="cellColor" ref="B5:B168" dxfId="0"/>
  </sortState>
  <mergeCells count="3">
    <mergeCell ref="B182:C182"/>
    <mergeCell ref="B176:C176"/>
    <mergeCell ref="B170:C170"/>
  </mergeCells>
  <phoneticPr fontId="4" type="noConversion"/>
  <dataValidations count="3">
    <dataValidation type="list" allowBlank="1" showInputMessage="1" showErrorMessage="1" sqref="D4:D168" xr:uid="{00000000-0002-0000-0000-000000000000}">
      <formula1>$B$172:$B$174</formula1>
    </dataValidation>
    <dataValidation type="list" allowBlank="1" showInputMessage="1" showErrorMessage="1" sqref="V4:V168" xr:uid="{00000000-0002-0000-0000-000001000000}">
      <formula1>$B$183:$B$186</formula1>
    </dataValidation>
    <dataValidation type="list" allowBlank="1" showInputMessage="1" showErrorMessage="1" sqref="E4:E168" xr:uid="{00000000-0002-0000-0000-000002000000}">
      <formula1>$B$177:$B$180</formula1>
    </dataValidation>
  </dataValidations>
  <hyperlinks>
    <hyperlink ref="H4" r:id="rId1" xr:uid="{00000000-0004-0000-0000-000000000000}"/>
    <hyperlink ref="H5" r:id="rId2" xr:uid="{00000000-0004-0000-0000-000001000000}"/>
    <hyperlink ref="H6" r:id="rId3" xr:uid="{00000000-0004-0000-0000-000002000000}"/>
    <hyperlink ref="H8" r:id="rId4" xr:uid="{00000000-0004-0000-0000-000003000000}"/>
    <hyperlink ref="H23" r:id="rId5" xr:uid="{00000000-0004-0000-0000-000004000000}"/>
    <hyperlink ref="H24" r:id="rId6" xr:uid="{00000000-0004-0000-0000-000005000000}"/>
    <hyperlink ref="H25" r:id="rId7" xr:uid="{00000000-0004-0000-0000-000006000000}"/>
    <hyperlink ref="H29" r:id="rId8" xr:uid="{00000000-0004-0000-0000-000007000000}"/>
    <hyperlink ref="H37" r:id="rId9" xr:uid="{00000000-0004-0000-0000-000008000000}"/>
    <hyperlink ref="H44" r:id="rId10" xr:uid="{00000000-0004-0000-0000-000009000000}"/>
    <hyperlink ref="H47" r:id="rId11" xr:uid="{00000000-0004-0000-0000-00000A000000}"/>
    <hyperlink ref="H49" r:id="rId12" xr:uid="{00000000-0004-0000-0000-00000B000000}"/>
    <hyperlink ref="H50" r:id="rId13" xr:uid="{00000000-0004-0000-0000-00000C000000}"/>
    <hyperlink ref="H19" r:id="rId14" xr:uid="{00000000-0004-0000-0000-00000D000000}"/>
    <hyperlink ref="H53" r:id="rId15" xr:uid="{00000000-0004-0000-0000-00000E000000}"/>
    <hyperlink ref="H59" r:id="rId16" xr:uid="{00000000-0004-0000-0000-00000F000000}"/>
    <hyperlink ref="H60" r:id="rId17" xr:uid="{00000000-0004-0000-0000-000010000000}"/>
    <hyperlink ref="H64" r:id="rId18" xr:uid="{00000000-0004-0000-0000-000011000000}"/>
    <hyperlink ref="H65" r:id="rId19" xr:uid="{00000000-0004-0000-0000-000012000000}"/>
    <hyperlink ref="H67" r:id="rId20" xr:uid="{00000000-0004-0000-0000-000013000000}"/>
    <hyperlink ref="H69" r:id="rId21" xr:uid="{00000000-0004-0000-0000-000014000000}"/>
    <hyperlink ref="H74" r:id="rId22" xr:uid="{00000000-0004-0000-0000-000015000000}"/>
    <hyperlink ref="H75" r:id="rId23" xr:uid="{00000000-0004-0000-0000-000016000000}"/>
    <hyperlink ref="H76" r:id="rId24" xr:uid="{00000000-0004-0000-0000-000017000000}"/>
    <hyperlink ref="H82" r:id="rId25" xr:uid="{00000000-0004-0000-0000-000018000000}"/>
    <hyperlink ref="H84" r:id="rId26" xr:uid="{00000000-0004-0000-0000-000019000000}"/>
    <hyperlink ref="H85" r:id="rId27" xr:uid="{00000000-0004-0000-0000-00001A000000}"/>
    <hyperlink ref="H87" r:id="rId28" xr:uid="{00000000-0004-0000-0000-00001B000000}"/>
    <hyperlink ref="H88" r:id="rId29" xr:uid="{00000000-0004-0000-0000-00001C000000}"/>
    <hyperlink ref="H90" r:id="rId30" xr:uid="{00000000-0004-0000-0000-00001D000000}"/>
    <hyperlink ref="H91" r:id="rId31" xr:uid="{00000000-0004-0000-0000-00001E000000}"/>
    <hyperlink ref="H92" r:id="rId32" xr:uid="{00000000-0004-0000-0000-00001F000000}"/>
    <hyperlink ref="H97" r:id="rId33" xr:uid="{00000000-0004-0000-0000-000020000000}"/>
    <hyperlink ref="H99" r:id="rId34" xr:uid="{00000000-0004-0000-0000-000021000000}"/>
    <hyperlink ref="H100" r:id="rId35" xr:uid="{00000000-0004-0000-0000-000022000000}"/>
    <hyperlink ref="H103" r:id="rId36" xr:uid="{00000000-0004-0000-0000-000023000000}"/>
    <hyperlink ref="H108" r:id="rId37" xr:uid="{00000000-0004-0000-0000-000025000000}"/>
    <hyperlink ref="H116" r:id="rId38" xr:uid="{00000000-0004-0000-0000-000026000000}"/>
    <hyperlink ref="H121" r:id="rId39" xr:uid="{00000000-0004-0000-0000-000027000000}"/>
    <hyperlink ref="H124" r:id="rId40" xr:uid="{00000000-0004-0000-0000-000028000000}"/>
    <hyperlink ref="H125" r:id="rId41" xr:uid="{00000000-0004-0000-0000-000029000000}"/>
    <hyperlink ref="H10" r:id="rId42" xr:uid="{00000000-0004-0000-0000-00002A000000}"/>
    <hyperlink ref="H16" r:id="rId43" xr:uid="{00000000-0004-0000-0000-00002B000000}"/>
    <hyperlink ref="H30" r:id="rId44" xr:uid="{00000000-0004-0000-0000-00002C000000}"/>
    <hyperlink ref="H36" r:id="rId45" xr:uid="{00000000-0004-0000-0000-00002D000000}"/>
    <hyperlink ref="H57" r:id="rId46" xr:uid="{00000000-0004-0000-0000-00002E000000}"/>
    <hyperlink ref="H9" r:id="rId47" xr:uid="{00000000-0004-0000-0000-00002F000000}"/>
    <hyperlink ref="H11" r:id="rId48" xr:uid="{00000000-0004-0000-0000-000030000000}"/>
    <hyperlink ref="H13" r:id="rId49" xr:uid="{00000000-0004-0000-0000-000031000000}"/>
    <hyperlink ref="H20" r:id="rId50" xr:uid="{00000000-0004-0000-0000-000032000000}"/>
    <hyperlink ref="H21" r:id="rId51" xr:uid="{00000000-0004-0000-0000-000033000000}"/>
    <hyperlink ref="H22" r:id="rId52" xr:uid="{00000000-0004-0000-0000-000034000000}"/>
    <hyperlink ref="H26" r:id="rId53" xr:uid="{00000000-0004-0000-0000-000035000000}"/>
    <hyperlink ref="H27" r:id="rId54" xr:uid="{00000000-0004-0000-0000-000036000000}"/>
    <hyperlink ref="H34" r:id="rId55" xr:uid="{00000000-0004-0000-0000-000037000000}"/>
    <hyperlink ref="H35" r:id="rId56" xr:uid="{00000000-0004-0000-0000-000038000000}"/>
    <hyperlink ref="H38" r:id="rId57" xr:uid="{00000000-0004-0000-0000-000039000000}"/>
    <hyperlink ref="H41" r:id="rId58" xr:uid="{00000000-0004-0000-0000-00003A000000}"/>
    <hyperlink ref="H43" r:id="rId59" xr:uid="{00000000-0004-0000-0000-00003B000000}"/>
    <hyperlink ref="H46" r:id="rId60" xr:uid="{00000000-0004-0000-0000-00003C000000}"/>
    <hyperlink ref="H51" r:id="rId61" xr:uid="{00000000-0004-0000-0000-00003D000000}"/>
    <hyperlink ref="H56" r:id="rId62" xr:uid="{00000000-0004-0000-0000-00003E000000}"/>
    <hyperlink ref="H62" r:id="rId63" xr:uid="{00000000-0004-0000-0000-00003F000000}"/>
    <hyperlink ref="H63" r:id="rId64" xr:uid="{00000000-0004-0000-0000-000040000000}"/>
    <hyperlink ref="H79" r:id="rId65" xr:uid="{00000000-0004-0000-0000-000041000000}"/>
    <hyperlink ref="H89" r:id="rId66" xr:uid="{00000000-0004-0000-0000-000042000000}"/>
    <hyperlink ref="H93" r:id="rId67" xr:uid="{00000000-0004-0000-0000-000043000000}"/>
    <hyperlink ref="H95" r:id="rId68" xr:uid="{00000000-0004-0000-0000-000044000000}"/>
    <hyperlink ref="H101" r:id="rId69" xr:uid="{00000000-0004-0000-0000-000045000000}"/>
    <hyperlink ref="H105" r:id="rId70" xr:uid="{00000000-0004-0000-0000-000046000000}"/>
    <hyperlink ref="H109" r:id="rId71" xr:uid="{00000000-0004-0000-0000-000047000000}"/>
    <hyperlink ref="H114" r:id="rId72" xr:uid="{00000000-0004-0000-0000-000048000000}"/>
    <hyperlink ref="H130" r:id="rId73" xr:uid="{00000000-0004-0000-0000-000049000000}"/>
    <hyperlink ref="H112" r:id="rId74" xr:uid="{00000000-0004-0000-0000-00004A000000}"/>
    <hyperlink ref="H120" r:id="rId75" xr:uid="{00000000-0004-0000-0000-00004B000000}"/>
    <hyperlink ref="H39" r:id="rId76" display="alrabeeh.kg.bh@hotmail.com" xr:uid="{00000000-0004-0000-0000-00004C000000}"/>
    <hyperlink ref="H54" r:id="rId77" xr:uid="{00000000-0004-0000-0000-00004D000000}"/>
    <hyperlink ref="H78" r:id="rId78" xr:uid="{00000000-0004-0000-0000-00004E000000}"/>
    <hyperlink ref="H132" r:id="rId79" xr:uid="{00000000-0004-0000-0000-00004F000000}"/>
    <hyperlink ref="H104" r:id="rId80" xr:uid="{00000000-0004-0000-0000-000050000000}"/>
    <hyperlink ref="H68" r:id="rId81" xr:uid="{00000000-0004-0000-0000-000051000000}"/>
    <hyperlink ref="H118" r:id="rId82" xr:uid="{00000000-0004-0000-0000-000052000000}"/>
    <hyperlink ref="H12" r:id="rId83" xr:uid="{00000000-0004-0000-0000-000053000000}"/>
    <hyperlink ref="H28" r:id="rId84" display="takweenkg@gmail.com" xr:uid="{00000000-0004-0000-0000-000054000000}"/>
    <hyperlink ref="H45" r:id="rId85" xr:uid="{00000000-0004-0000-0000-000055000000}"/>
    <hyperlink ref="H48" r:id="rId86" xr:uid="{00000000-0004-0000-0000-000056000000}"/>
    <hyperlink ref="H55" r:id="rId87" xr:uid="{00000000-0004-0000-0000-000057000000}"/>
    <hyperlink ref="H61" r:id="rId88" xr:uid="{00000000-0004-0000-0000-000058000000}"/>
    <hyperlink ref="H66" r:id="rId89" xr:uid="{00000000-0004-0000-0000-000059000000}"/>
    <hyperlink ref="H72" r:id="rId90" xr:uid="{00000000-0004-0000-0000-00005A000000}"/>
    <hyperlink ref="H73" r:id="rId91" xr:uid="{00000000-0004-0000-0000-00005B000000}"/>
    <hyperlink ref="H77" r:id="rId92" xr:uid="{00000000-0004-0000-0000-00005C000000}"/>
    <hyperlink ref="H83" r:id="rId93" xr:uid="{00000000-0004-0000-0000-00005D000000}"/>
    <hyperlink ref="H70" r:id="rId94" xr:uid="{00000000-0004-0000-0000-00005E000000}"/>
    <hyperlink ref="H102" r:id="rId95" xr:uid="{00000000-0004-0000-0000-00005F000000}"/>
    <hyperlink ref="H153" r:id="rId96" xr:uid="{00000000-0004-0000-0000-000060000000}"/>
    <hyperlink ref="H110" r:id="rId97" xr:uid="{00000000-0004-0000-0000-000061000000}"/>
    <hyperlink ref="H115" r:id="rId98" xr:uid="{00000000-0004-0000-0000-000062000000}"/>
    <hyperlink ref="H129" r:id="rId99" xr:uid="{00000000-0004-0000-0000-000063000000}"/>
    <hyperlink ref="H163" r:id="rId100" display="umnasser.modelkg@gmail.com" xr:uid="{00000000-0004-0000-0000-000064000000}"/>
    <hyperlink ref="H161" r:id="rId101" xr:uid="{00000000-0004-0000-0000-000065000000}"/>
    <hyperlink ref="H86" r:id="rId102" xr:uid="{00000000-0004-0000-0000-000066000000}"/>
    <hyperlink ref="H113" r:id="rId103" xr:uid="{00000000-0004-0000-0000-000067000000}"/>
    <hyperlink ref="H158" r:id="rId104" xr:uid="{00000000-0004-0000-0000-000068000000}"/>
    <hyperlink ref="H154" r:id="rId105" xr:uid="{00000000-0004-0000-0000-000069000000}"/>
    <hyperlink ref="H131" r:id="rId106" xr:uid="{00000000-0004-0000-0000-00006A000000}"/>
    <hyperlink ref="H94" r:id="rId107" xr:uid="{00000000-0004-0000-0000-00006B000000}"/>
    <hyperlink ref="H52" r:id="rId108" xr:uid="{00000000-0004-0000-0000-00006C000000}"/>
    <hyperlink ref="H42" r:id="rId109" xr:uid="{00000000-0004-0000-0000-00006D000000}"/>
    <hyperlink ref="H134" r:id="rId110" xr:uid="{00000000-0004-0000-0000-00006E000000}"/>
    <hyperlink ref="H133" r:id="rId111" xr:uid="{00000000-0004-0000-0000-00006F000000}"/>
    <hyperlink ref="H126" r:id="rId112" xr:uid="{00000000-0004-0000-0000-000070000000}"/>
    <hyperlink ref="H159" r:id="rId113" xr:uid="{00000000-0004-0000-0000-000071000000}"/>
    <hyperlink ref="H40" r:id="rId114" xr:uid="{00000000-0004-0000-0000-000072000000}"/>
    <hyperlink ref="H135" r:id="rId115" xr:uid="{00000000-0004-0000-0000-000073000000}"/>
    <hyperlink ref="H165" r:id="rId116" xr:uid="{00000000-0004-0000-0000-000074000000}"/>
    <hyperlink ref="H164" r:id="rId117" xr:uid="{00000000-0004-0000-0000-000075000000}"/>
    <hyperlink ref="H139" r:id="rId118" xr:uid="{00000000-0004-0000-0000-000076000000}"/>
    <hyperlink ref="H144" r:id="rId119" xr:uid="{00000000-0004-0000-0000-000077000000}"/>
    <hyperlink ref="H143" r:id="rId120" xr:uid="{00000000-0004-0000-0000-000078000000}"/>
    <hyperlink ref="H145" r:id="rId121" xr:uid="{00000000-0004-0000-0000-000079000000}"/>
    <hyperlink ref="H142" r:id="rId122" xr:uid="{00000000-0004-0000-0000-00007A000000}"/>
    <hyperlink ref="H147" r:id="rId123" xr:uid="{00000000-0004-0000-0000-00007C000000}"/>
    <hyperlink ref="H148" r:id="rId124" xr:uid="{00000000-0004-0000-0000-00007D000000}"/>
    <hyperlink ref="H149" r:id="rId125" xr:uid="{00000000-0004-0000-0000-00007E000000}"/>
    <hyperlink ref="H150" r:id="rId126" xr:uid="{9C1FE19B-42F6-4EE4-80E4-5E7A9682D169}"/>
    <hyperlink ref="H162" r:id="rId127" xr:uid="{F42A5A10-64D0-4CE0-B5E5-482A973E7866}"/>
  </hyperlinks>
  <pageMargins left="0.7" right="0.7" top="0.75" bottom="0.75" header="0.3" footer="0.3"/>
  <pageSetup paperSize="9" orientation="portrait" r:id="rId128"/>
  <drawing r:id="rId12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iOS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تواصل - رياض أطفال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Noora Alahmed</dc:creator>
  <cp:keywords/>
  <dc:description/>
  <cp:lastModifiedBy>Noora Sabri Alahmed</cp:lastModifiedBy>
  <dcterms:created xsi:type="dcterms:W3CDTF">2020-03-25T05:30:04Z</dcterms:created>
  <dcterms:modified xsi:type="dcterms:W3CDTF">2026-03-18T08:59:24Z</dcterms:modified>
  <cp:category/>
</cp:coreProperties>
</file>